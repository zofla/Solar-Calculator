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ial" sheetId="1" r:id="rId4"/>
    <sheet state="visible" name="Commercial" sheetId="2" r:id="rId5"/>
    <sheet state="visible" name="Appliances" sheetId="3" r:id="rId6"/>
  </sheets>
  <definedNames/>
  <calcPr/>
</workbook>
</file>

<file path=xl/sharedStrings.xml><?xml version="1.0" encoding="utf-8"?>
<sst xmlns="http://schemas.openxmlformats.org/spreadsheetml/2006/main" count="515" uniqueCount="197">
  <si>
    <t>Category (Name)</t>
  </si>
  <si>
    <t>Category (Description)</t>
  </si>
  <si>
    <t>Appliance</t>
  </si>
  <si>
    <t>Wattage (W)</t>
  </si>
  <si>
    <t>Usage (hrs/day)</t>
  </si>
  <si>
    <t>Quantity</t>
  </si>
  <si>
    <t>Required energy consumption (Wh)</t>
  </si>
  <si>
    <t>JJC</t>
  </si>
  <si>
    <t>Just Joined the Corporate world, always on-the-go, minimal time at home</t>
  </si>
  <si>
    <t>LED Bulb (Standard)</t>
  </si>
  <si>
    <t>Phone Charger</t>
  </si>
  <si>
    <t>Standing Fan</t>
  </si>
  <si>
    <t>Laptop</t>
  </si>
  <si>
    <t>Router</t>
  </si>
  <si>
    <t>Solo Flexer</t>
  </si>
  <si>
    <t>Young professional living alone, working occasionally from home</t>
  </si>
  <si>
    <t>Smart TV</t>
  </si>
  <si>
    <t>Small Chop Family</t>
  </si>
  <si>
    <t>Young family with one or two "pikin", living in a cozy home</t>
  </si>
  <si>
    <t>Refrigerator (Large)</t>
  </si>
  <si>
    <t>Microwave Oven</t>
  </si>
  <si>
    <t>Hustling Household</t>
  </si>
  <si>
    <t>Bustling family home with multiple "pikin", busy schedule and activities</t>
  </si>
  <si>
    <t>Deep Freezer</t>
  </si>
  <si>
    <t>Electric Kettle</t>
  </si>
  <si>
    <t>Extended Family</t>
  </si>
  <si>
    <t>Large extended family living together, multi-generational vibes</t>
  </si>
  <si>
    <t>Washing Machine</t>
  </si>
  <si>
    <t>Ajebutter Couples</t>
  </si>
  <si>
    <t>Retired couple enjoying relaxed life, plenty of "gist"</t>
  </si>
  <si>
    <t>Empty Nesters</t>
  </si>
  <si>
    <t>Parents whose kids have "jakpa'd", quieter life</t>
  </si>
  <si>
    <t>Golden Years</t>
  </si>
  <si>
    <t>Retired individuals or couples enjoying their golden years</t>
  </si>
  <si>
    <t>Homebound Heroes</t>
  </si>
  <si>
    <t>Those who spend most of their time at home due to medical reasons</t>
  </si>
  <si>
    <t>Chest Freezer (Commercial)</t>
  </si>
  <si>
    <t>Family Compound</t>
  </si>
  <si>
    <t>Large extended family compound with plenty of activity</t>
  </si>
  <si>
    <t>Water Pump</t>
  </si>
  <si>
    <t>Shortlets</t>
  </si>
  <si>
    <t>Rental properties for short-term stays, e.g., Airbnb</t>
  </si>
  <si>
    <t>LED Bulb (10 units)</t>
  </si>
  <si>
    <t>Air Conditioner (2 units)</t>
  </si>
  <si>
    <t>Fridge</t>
  </si>
  <si>
    <t>Microwave</t>
  </si>
  <si>
    <t>TV</t>
  </si>
  <si>
    <t>Agriculture</t>
  </si>
  <si>
    <t>Farms or agricultural facilities</t>
  </si>
  <si>
    <t>LED Bulb (5 units)</t>
  </si>
  <si>
    <t>Irrigation Pump</t>
  </si>
  <si>
    <t>Refrigerated Storage</t>
  </si>
  <si>
    <t>Milling Machine</t>
  </si>
  <si>
    <t>Solar Water Heater</t>
  </si>
  <si>
    <t>Bank ATMs</t>
  </si>
  <si>
    <t>Automated Teller Machines requiring continuous power</t>
  </si>
  <si>
    <t>LED Bulb (2 units)</t>
  </si>
  <si>
    <t>ATM Machine</t>
  </si>
  <si>
    <t>CCTV System</t>
  </si>
  <si>
    <t>Backup UPS (System)</t>
  </si>
  <si>
    <t>Transportation</t>
  </si>
  <si>
    <t>Electric vehicles (charging stations)</t>
  </si>
  <si>
    <t>EV Charging Station (Level 2)</t>
  </si>
  <si>
    <t>Electric Car (daily charge)</t>
  </si>
  <si>
    <t>EV Charger Control System</t>
  </si>
  <si>
    <t>AC Unit (2 units)</t>
  </si>
  <si>
    <t>Office Complex</t>
  </si>
  <si>
    <t>Commercial offices with staff and equipment</t>
  </si>
  <si>
    <t>LED Bulb (25 units)</t>
  </si>
  <si>
    <t>Air Conditioner (5 units)</t>
  </si>
  <si>
    <t>Computer (10 units)</t>
  </si>
  <si>
    <t>Printer</t>
  </si>
  <si>
    <t>Refrigerator</t>
  </si>
  <si>
    <t>Retail Stores</t>
  </si>
  <si>
    <t>Small to medium-sized retail stores</t>
  </si>
  <si>
    <t>LED Bulb (15 units)</t>
  </si>
  <si>
    <t>Point-of-Sale (POS) System</t>
  </si>
  <si>
    <t>Freezer</t>
  </si>
  <si>
    <t>Supermarkets</t>
  </si>
  <si>
    <t>Larger retail stores with diverse operations</t>
  </si>
  <si>
    <t>LED Bulb (30 units)</t>
  </si>
  <si>
    <t>Freezer (3 units)</t>
  </si>
  <si>
    <t>Air Conditioner (4 units)</t>
  </si>
  <si>
    <t>Security System</t>
  </si>
  <si>
    <t>Cash Register</t>
  </si>
  <si>
    <t>Restaurants</t>
  </si>
  <si>
    <t>Small to medium-sized restaurants</t>
  </si>
  <si>
    <t>Air Conditioner (3 units)</t>
  </si>
  <si>
    <t>Stove</t>
  </si>
  <si>
    <t>POS System</t>
  </si>
  <si>
    <t>Hotels</t>
  </si>
  <si>
    <t>Small to mid-sized hotels</t>
  </si>
  <si>
    <t>LED Bulb (50 units)</t>
  </si>
  <si>
    <t>Air Conditioner (10 units)</t>
  </si>
  <si>
    <t>Gyms/Fitness Centers</t>
  </si>
  <si>
    <t>Health and fitness centers</t>
  </si>
  <si>
    <t>LED Bulb (20 units)</t>
  </si>
  <si>
    <t>Treadmill</t>
  </si>
  <si>
    <t>Exercise Bikes</t>
  </si>
  <si>
    <t>Water Cooler</t>
  </si>
  <si>
    <t>Typical Wattage (W)</t>
  </si>
  <si>
    <t>Suggested Usage (hrs)</t>
  </si>
  <si>
    <t>Daily Consumption (Wh)</t>
  </si>
  <si>
    <t>Incandescent Bulb</t>
  </si>
  <si>
    <t>Ceiling Fan</t>
  </si>
  <si>
    <t>Desktop Computer</t>
  </si>
  <si>
    <t>Smartphone Charger</t>
  </si>
  <si>
    <t>Tablet Charger</t>
  </si>
  <si>
    <t>Television (55")</t>
  </si>
  <si>
    <t>Satellite Decoder</t>
  </si>
  <si>
    <t>Sound System</t>
  </si>
  <si>
    <t>Mini Fridge</t>
  </si>
  <si>
    <t>Blender</t>
  </si>
  <si>
    <t>Clothes Dryer</t>
  </si>
  <si>
    <t>Iron</t>
  </si>
  <si>
    <t>Toaster</t>
  </si>
  <si>
    <t>Hair Dryer</t>
  </si>
  <si>
    <t>Electric Cooker (1 burner)</t>
  </si>
  <si>
    <t>Electric Oven</t>
  </si>
  <si>
    <t>Water Heater (Instant)</t>
  </si>
  <si>
    <t>Water Heater (Storage)</t>
  </si>
  <si>
    <t>Air Conditioner (1HP)</t>
  </si>
  <si>
    <t>Air Conditioner (1.5HP)</t>
  </si>
  <si>
    <t>Air Conditioner (2HP)</t>
  </si>
  <si>
    <t>Dishwasher</t>
  </si>
  <si>
    <t>Medical Equipment (Oxygen Machine)</t>
  </si>
  <si>
    <t>Home Theatre System</t>
  </si>
  <si>
    <t>Game Console</t>
  </si>
  <si>
    <t>CCTV Camera System</t>
  </si>
  <si>
    <t>Internet Router</t>
  </si>
  <si>
    <t>Vacuum Cleaner</t>
  </si>
  <si>
    <t>Printer/Scanner</t>
  </si>
  <si>
    <t>Baby Bottle Warmer</t>
  </si>
  <si>
    <t>Electric Sewing Machine</t>
  </si>
  <si>
    <t>Laser Printer</t>
  </si>
  <si>
    <t>Inkjet Printer</t>
  </si>
  <si>
    <t>Photocopier</t>
  </si>
  <si>
    <t>Scanner</t>
  </si>
  <si>
    <t>Server</t>
  </si>
  <si>
    <t>Router/Modem</t>
  </si>
  <si>
    <t>Network Switch</t>
  </si>
  <si>
    <t>Telephone System</t>
  </si>
  <si>
    <t>Projector</t>
  </si>
  <si>
    <t>Commercial Smart TV</t>
  </si>
  <si>
    <t>CCTV DVR/NVR</t>
  </si>
  <si>
    <t>CCTV Camera</t>
  </si>
  <si>
    <t>POS Machine</t>
  </si>
  <si>
    <t>Barcode Scanner</t>
  </si>
  <si>
    <t>Display Fridge</t>
  </si>
  <si>
    <t>Upright Freezer</t>
  </si>
  <si>
    <t>Cold Room (Small)</t>
  </si>
  <si>
    <t>Cold Room (Large)</t>
  </si>
  <si>
    <t>Vending Machine</t>
  </si>
  <si>
    <t>Weighing Scale (Digital)</t>
  </si>
  <si>
    <t>Electric Cooker</t>
  </si>
  <si>
    <t>Coffee Machine</t>
  </si>
  <si>
    <t>Water Boiler/Urn</t>
  </si>
  <si>
    <t>Food Warmer</t>
  </si>
  <si>
    <t>Juicer</t>
  </si>
  <si>
    <t>Griddle</t>
  </si>
  <si>
    <t>Commercial Dishwasher (Small)</t>
  </si>
  <si>
    <t>Commercial Dishwasher (Large)</t>
  </si>
  <si>
    <t>Deep Fryer</t>
  </si>
  <si>
    <t>Rice Cooker (Large)</t>
  </si>
  <si>
    <t>Industrial Exhaust Fan</t>
  </si>
  <si>
    <t>Hair Clipper</t>
  </si>
  <si>
    <t>Hair Straightener</t>
  </si>
  <si>
    <t>Sterilizer</t>
  </si>
  <si>
    <t>Facial Steamer</t>
  </si>
  <si>
    <t>Curling Iron</t>
  </si>
  <si>
    <t>Nail Curing Lamp</t>
  </si>
  <si>
    <t>Medical Refrigerator</t>
  </si>
  <si>
    <t>Ultrasound Machine</t>
  </si>
  <si>
    <t>ECG Machine</t>
  </si>
  <si>
    <t>Oxygen Concentrator</t>
  </si>
  <si>
    <t>Examination Light</t>
  </si>
  <si>
    <t>Centrifuge</t>
  </si>
  <si>
    <t>Autoclave</t>
  </si>
  <si>
    <t>Irrigation Pump (1HP)</t>
  </si>
  <si>
    <t>Irrigation Pump (2HP)</t>
  </si>
  <si>
    <t>Feed Grinder</t>
  </si>
  <si>
    <t>Incubator</t>
  </si>
  <si>
    <t>Dehydrator</t>
  </si>
  <si>
    <t>Poultry Lighting System</t>
  </si>
  <si>
    <t>Egg Candler</t>
  </si>
  <si>
    <t>EV Charging Station (Slow)</t>
  </si>
  <si>
    <t>EV Charging Station (Fast)</t>
  </si>
  <si>
    <t>Battery Bank Cooling Fan</t>
  </si>
  <si>
    <t>ATM Booth Air Conditioner</t>
  </si>
  <si>
    <t>ATM Booth Lighting</t>
  </si>
  <si>
    <t>CCTV Camera (Booth)</t>
  </si>
  <si>
    <t>Water Pump (1HP)</t>
  </si>
  <si>
    <t>Security Lights (LED Flood)</t>
  </si>
  <si>
    <t>Electric Gate Motor</t>
  </si>
  <si>
    <t>Borehole Pump (2HP)</t>
  </si>
  <si>
    <t>Common Area Lighting</t>
  </si>
  <si>
    <t>LED Bulb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</si>
</sst>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horizontal="center" vertical="top"/>
    </xf>
    <xf borderId="1" fillId="0" fontId="3" numFmtId="49" xfId="0" applyAlignment="1" applyBorder="1" applyFont="1" applyNumberFormat="1">
      <alignment horizontal="center" readingOrder="0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sident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erci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0" displayName="Table1" name="Table1" id="1">
  <tableColumns count="7">
    <tableColumn name="Category (Name)" id="1"/>
    <tableColumn name="Category (Description)" id="2"/>
    <tableColumn name="Appliance" id="3"/>
    <tableColumn name="Wattage (W)" id="4"/>
    <tableColumn name="Usage (hrs/day)" id="5"/>
    <tableColumn name="Quantity" id="6"/>
    <tableColumn name="Required energy consumption (Wh)" id="7"/>
  </tableColumns>
  <tableStyleInfo name="Residential-style" showColumnStripes="0" showFirstColumn="1" showLastColumn="1" showRowStripes="1"/>
</table>
</file>

<file path=xl/tables/table2.xml><?xml version="1.0" encoding="utf-8"?>
<table xmlns="http://schemas.openxmlformats.org/spreadsheetml/2006/main" ref="A1:G67" displayName="Commercial_draft_categories" name="Commercial_draft_categories" id="2">
  <tableColumns count="7">
    <tableColumn name="Category (Name)" id="1"/>
    <tableColumn name="Category (Description)" id="2"/>
    <tableColumn name="Appliance" id="3"/>
    <tableColumn name="Wattage (W)" id="4"/>
    <tableColumn name="Usage (hrs/day)" id="5"/>
    <tableColumn name="Quantity" id="6"/>
    <tableColumn name="Required energy consumption (Wh)" id="7"/>
  </tableColumns>
  <tableStyleInfo name="Commer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43.0"/>
    <col customWidth="1" min="3" max="3" width="23.0"/>
    <col customWidth="1" min="4" max="4" width="21.71"/>
    <col customWidth="1" min="5" max="5" width="25.0"/>
    <col customWidth="1" min="6" max="7" width="39.57"/>
    <col customWidth="1" min="8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22.5" customHeight="1">
      <c r="A2" s="4"/>
      <c r="B2" s="5"/>
      <c r="D2" s="6"/>
      <c r="E2" s="6"/>
      <c r="G2" s="7">
        <f t="shared" ref="G2:G60" si="1">D2*E2*F2</f>
        <v>0</v>
      </c>
    </row>
    <row r="3" ht="22.5" customHeight="1">
      <c r="A3" s="8" t="s">
        <v>7</v>
      </c>
      <c r="B3" s="5" t="s">
        <v>8</v>
      </c>
      <c r="C3" s="7" t="s">
        <v>9</v>
      </c>
      <c r="D3" s="6">
        <v>15.0</v>
      </c>
      <c r="E3" s="6">
        <v>6.0</v>
      </c>
      <c r="F3" s="5">
        <v>2.0</v>
      </c>
      <c r="G3" s="7">
        <f t="shared" si="1"/>
        <v>180</v>
      </c>
    </row>
    <row r="4" ht="22.5" customHeight="1">
      <c r="A4" s="8" t="s">
        <v>7</v>
      </c>
      <c r="B4" s="5" t="s">
        <v>8</v>
      </c>
      <c r="C4" s="5" t="s">
        <v>10</v>
      </c>
      <c r="D4" s="5">
        <v>5.0</v>
      </c>
      <c r="E4" s="5">
        <v>2.0</v>
      </c>
      <c r="F4" s="5">
        <v>1.0</v>
      </c>
      <c r="G4" s="7">
        <f t="shared" si="1"/>
        <v>10</v>
      </c>
    </row>
    <row r="5" ht="22.5" customHeight="1">
      <c r="A5" s="8" t="s">
        <v>7</v>
      </c>
      <c r="B5" s="5" t="s">
        <v>8</v>
      </c>
      <c r="C5" s="5" t="s">
        <v>11</v>
      </c>
      <c r="D5" s="5">
        <v>70.0</v>
      </c>
      <c r="E5" s="5">
        <v>4.0</v>
      </c>
      <c r="F5" s="5">
        <v>1.0</v>
      </c>
      <c r="G5" s="7">
        <f t="shared" si="1"/>
        <v>280</v>
      </c>
    </row>
    <row r="6" ht="22.5" customHeight="1">
      <c r="A6" s="8" t="s">
        <v>7</v>
      </c>
      <c r="B6" s="5" t="s">
        <v>8</v>
      </c>
      <c r="C6" s="5" t="s">
        <v>12</v>
      </c>
      <c r="D6" s="5">
        <v>60.0</v>
      </c>
      <c r="E6" s="5">
        <v>3.0</v>
      </c>
      <c r="F6" s="5">
        <v>1.0</v>
      </c>
      <c r="G6" s="7">
        <f t="shared" si="1"/>
        <v>180</v>
      </c>
    </row>
    <row r="7" ht="22.5" customHeight="1">
      <c r="A7" s="8" t="s">
        <v>7</v>
      </c>
      <c r="B7" s="5" t="s">
        <v>8</v>
      </c>
      <c r="C7" s="5" t="s">
        <v>13</v>
      </c>
      <c r="D7" s="5">
        <v>10.0</v>
      </c>
      <c r="E7" s="5">
        <v>4.0</v>
      </c>
      <c r="F7" s="5">
        <v>1.0</v>
      </c>
      <c r="G7" s="7">
        <f t="shared" si="1"/>
        <v>40</v>
      </c>
    </row>
    <row r="8" ht="22.5" customHeight="1">
      <c r="A8" s="8" t="s">
        <v>14</v>
      </c>
      <c r="B8" s="5" t="s">
        <v>15</v>
      </c>
      <c r="C8" s="7" t="s">
        <v>9</v>
      </c>
      <c r="D8" s="5">
        <v>45.0</v>
      </c>
      <c r="E8" s="5">
        <v>6.0</v>
      </c>
      <c r="F8" s="5">
        <v>1.0</v>
      </c>
      <c r="G8" s="7">
        <f t="shared" si="1"/>
        <v>270</v>
      </c>
    </row>
    <row r="9" ht="22.5" customHeight="1">
      <c r="A9" s="8" t="s">
        <v>14</v>
      </c>
      <c r="B9" s="5" t="s">
        <v>15</v>
      </c>
      <c r="C9" s="5" t="s">
        <v>10</v>
      </c>
      <c r="D9" s="5">
        <v>5.0</v>
      </c>
      <c r="E9" s="5">
        <v>3.0</v>
      </c>
      <c r="F9" s="5">
        <v>1.0</v>
      </c>
      <c r="G9" s="7">
        <f t="shared" si="1"/>
        <v>15</v>
      </c>
    </row>
    <row r="10" ht="22.5" customHeight="1">
      <c r="A10" s="8" t="s">
        <v>14</v>
      </c>
      <c r="B10" s="5" t="s">
        <v>15</v>
      </c>
      <c r="C10" s="5" t="s">
        <v>11</v>
      </c>
      <c r="D10" s="5">
        <v>70.0</v>
      </c>
      <c r="E10" s="5">
        <v>6.0</v>
      </c>
      <c r="F10" s="5">
        <v>1.0</v>
      </c>
      <c r="G10" s="7">
        <f t="shared" si="1"/>
        <v>420</v>
      </c>
    </row>
    <row r="11" ht="22.5" customHeight="1">
      <c r="A11" s="8" t="s">
        <v>14</v>
      </c>
      <c r="B11" s="5" t="s">
        <v>15</v>
      </c>
      <c r="C11" s="5" t="s">
        <v>12</v>
      </c>
      <c r="D11" s="5">
        <v>60.0</v>
      </c>
      <c r="E11" s="5">
        <v>5.0</v>
      </c>
      <c r="F11" s="5">
        <v>1.0</v>
      </c>
      <c r="G11" s="7">
        <f t="shared" si="1"/>
        <v>300</v>
      </c>
    </row>
    <row r="12" ht="22.5" customHeight="1">
      <c r="A12" s="8" t="s">
        <v>14</v>
      </c>
      <c r="B12" s="5" t="s">
        <v>15</v>
      </c>
      <c r="C12" s="5" t="s">
        <v>13</v>
      </c>
      <c r="D12" s="5">
        <v>10.0</v>
      </c>
      <c r="E12" s="5">
        <v>6.0</v>
      </c>
      <c r="F12" s="5">
        <v>1.0</v>
      </c>
      <c r="G12" s="7">
        <f t="shared" si="1"/>
        <v>60</v>
      </c>
    </row>
    <row r="13" ht="22.5" customHeight="1">
      <c r="A13" s="8" t="s">
        <v>14</v>
      </c>
      <c r="B13" s="5" t="s">
        <v>15</v>
      </c>
      <c r="C13" s="5" t="s">
        <v>16</v>
      </c>
      <c r="D13" s="5">
        <v>100.0</v>
      </c>
      <c r="E13" s="5">
        <v>5.0</v>
      </c>
      <c r="F13" s="5">
        <v>1.0</v>
      </c>
      <c r="G13" s="7">
        <f t="shared" si="1"/>
        <v>500</v>
      </c>
    </row>
    <row r="14" ht="22.5" customHeight="1">
      <c r="A14" s="8" t="s">
        <v>17</v>
      </c>
      <c r="B14" s="5" t="s">
        <v>18</v>
      </c>
      <c r="C14" s="7" t="s">
        <v>9</v>
      </c>
      <c r="D14" s="5">
        <v>72.0</v>
      </c>
      <c r="E14" s="5">
        <v>6.0</v>
      </c>
      <c r="F14" s="5">
        <v>1.0</v>
      </c>
      <c r="G14" s="7">
        <f t="shared" si="1"/>
        <v>432</v>
      </c>
    </row>
    <row r="15" ht="22.5" customHeight="1">
      <c r="A15" s="8" t="s">
        <v>17</v>
      </c>
      <c r="B15" s="5" t="s">
        <v>18</v>
      </c>
      <c r="C15" s="7" t="s">
        <v>19</v>
      </c>
      <c r="D15" s="5">
        <v>150.0</v>
      </c>
      <c r="E15" s="5">
        <v>8.0</v>
      </c>
      <c r="F15" s="5">
        <v>1.0</v>
      </c>
      <c r="G15" s="7">
        <f t="shared" si="1"/>
        <v>1200</v>
      </c>
    </row>
    <row r="16" ht="22.5" customHeight="1">
      <c r="A16" s="8" t="s">
        <v>17</v>
      </c>
      <c r="B16" s="5" t="s">
        <v>18</v>
      </c>
      <c r="C16" s="7" t="s">
        <v>11</v>
      </c>
      <c r="D16" s="5">
        <v>140.0</v>
      </c>
      <c r="E16" s="5">
        <v>6.0</v>
      </c>
      <c r="F16" s="5">
        <v>1.0</v>
      </c>
      <c r="G16" s="7">
        <f t="shared" si="1"/>
        <v>840</v>
      </c>
    </row>
    <row r="17" ht="22.5" customHeight="1">
      <c r="A17" s="8" t="s">
        <v>17</v>
      </c>
      <c r="B17" s="5" t="s">
        <v>18</v>
      </c>
      <c r="C17" s="5" t="s">
        <v>12</v>
      </c>
      <c r="D17" s="5">
        <v>60.0</v>
      </c>
      <c r="E17" s="5">
        <v>4.0</v>
      </c>
      <c r="F17" s="5">
        <v>1.0</v>
      </c>
      <c r="G17" s="7">
        <f t="shared" si="1"/>
        <v>240</v>
      </c>
    </row>
    <row r="18" ht="22.5" customHeight="1">
      <c r="A18" s="8" t="s">
        <v>17</v>
      </c>
      <c r="B18" s="5" t="s">
        <v>18</v>
      </c>
      <c r="C18" s="5" t="s">
        <v>16</v>
      </c>
      <c r="D18" s="5">
        <v>100.0</v>
      </c>
      <c r="E18" s="5">
        <v>5.0</v>
      </c>
      <c r="F18" s="5">
        <v>1.0</v>
      </c>
      <c r="G18" s="7">
        <f t="shared" si="1"/>
        <v>500</v>
      </c>
    </row>
    <row r="19" ht="22.5" customHeight="1">
      <c r="A19" s="8" t="s">
        <v>17</v>
      </c>
      <c r="B19" s="5" t="s">
        <v>18</v>
      </c>
      <c r="C19" s="7" t="s">
        <v>20</v>
      </c>
      <c r="D19" s="5">
        <v>1200.0</v>
      </c>
      <c r="E19" s="5">
        <v>0.5</v>
      </c>
      <c r="F19" s="5">
        <v>1.0</v>
      </c>
      <c r="G19" s="7">
        <f t="shared" si="1"/>
        <v>600</v>
      </c>
    </row>
    <row r="20" ht="22.5" customHeight="1">
      <c r="A20" s="8" t="s">
        <v>21</v>
      </c>
      <c r="B20" s="5" t="s">
        <v>22</v>
      </c>
      <c r="C20" s="7" t="s">
        <v>9</v>
      </c>
      <c r="D20" s="5">
        <v>90.0</v>
      </c>
      <c r="E20" s="5">
        <v>8.0</v>
      </c>
      <c r="F20" s="5">
        <v>1.0</v>
      </c>
      <c r="G20" s="7">
        <f t="shared" si="1"/>
        <v>720</v>
      </c>
    </row>
    <row r="21" ht="22.5" customHeight="1">
      <c r="A21" s="8" t="s">
        <v>21</v>
      </c>
      <c r="B21" s="5" t="s">
        <v>22</v>
      </c>
      <c r="C21" s="7" t="s">
        <v>19</v>
      </c>
      <c r="D21" s="5">
        <v>150.0</v>
      </c>
      <c r="E21" s="5">
        <v>8.0</v>
      </c>
      <c r="F21" s="5">
        <v>1.0</v>
      </c>
      <c r="G21" s="7">
        <f t="shared" si="1"/>
        <v>1200</v>
      </c>
    </row>
    <row r="22" ht="15.75" customHeight="1">
      <c r="A22" s="8" t="s">
        <v>21</v>
      </c>
      <c r="B22" s="5" t="s">
        <v>22</v>
      </c>
      <c r="C22" s="5" t="s">
        <v>23</v>
      </c>
      <c r="D22" s="5">
        <v>200.0</v>
      </c>
      <c r="E22" s="5">
        <v>6.0</v>
      </c>
      <c r="F22" s="5">
        <v>1.0</v>
      </c>
      <c r="G22" s="7">
        <f t="shared" si="1"/>
        <v>1200</v>
      </c>
    </row>
    <row r="23" ht="15.75" customHeight="1">
      <c r="A23" s="8" t="s">
        <v>21</v>
      </c>
      <c r="B23" s="5" t="s">
        <v>22</v>
      </c>
      <c r="C23" s="5" t="s">
        <v>11</v>
      </c>
      <c r="D23" s="5">
        <v>210.0</v>
      </c>
      <c r="E23" s="5">
        <v>8.0</v>
      </c>
      <c r="F23" s="5">
        <v>1.0</v>
      </c>
      <c r="G23" s="7">
        <f t="shared" si="1"/>
        <v>1680</v>
      </c>
    </row>
    <row r="24" ht="15.75" customHeight="1">
      <c r="A24" s="8" t="s">
        <v>21</v>
      </c>
      <c r="B24" s="5" t="s">
        <v>22</v>
      </c>
      <c r="C24" s="5" t="s">
        <v>16</v>
      </c>
      <c r="D24" s="5">
        <v>100.0</v>
      </c>
      <c r="E24" s="5">
        <v>6.0</v>
      </c>
      <c r="F24" s="5">
        <v>1.0</v>
      </c>
      <c r="G24" s="7">
        <f t="shared" si="1"/>
        <v>600</v>
      </c>
    </row>
    <row r="25" ht="15.75" customHeight="1">
      <c r="A25" s="8" t="s">
        <v>21</v>
      </c>
      <c r="B25" s="5" t="s">
        <v>22</v>
      </c>
      <c r="C25" s="5" t="s">
        <v>12</v>
      </c>
      <c r="D25" s="5">
        <v>60.0</v>
      </c>
      <c r="E25" s="5">
        <v>5.0</v>
      </c>
      <c r="F25" s="5">
        <v>1.0</v>
      </c>
      <c r="G25" s="7">
        <f t="shared" si="1"/>
        <v>300</v>
      </c>
    </row>
    <row r="26" ht="15.75" customHeight="1">
      <c r="A26" s="8" t="s">
        <v>21</v>
      </c>
      <c r="B26" s="5" t="s">
        <v>22</v>
      </c>
      <c r="C26" s="5" t="s">
        <v>24</v>
      </c>
      <c r="D26" s="5">
        <v>1500.0</v>
      </c>
      <c r="E26" s="5">
        <v>0.2</v>
      </c>
      <c r="F26" s="5">
        <v>1.0</v>
      </c>
      <c r="G26" s="7">
        <f t="shared" si="1"/>
        <v>300</v>
      </c>
    </row>
    <row r="27" ht="15.75" customHeight="1">
      <c r="A27" s="8" t="s">
        <v>25</v>
      </c>
      <c r="B27" s="5" t="s">
        <v>26</v>
      </c>
      <c r="C27" s="7" t="s">
        <v>9</v>
      </c>
      <c r="D27" s="5">
        <v>135.0</v>
      </c>
      <c r="E27" s="5">
        <v>8.0</v>
      </c>
      <c r="F27" s="5">
        <v>1.0</v>
      </c>
      <c r="G27" s="7">
        <f t="shared" si="1"/>
        <v>1080</v>
      </c>
    </row>
    <row r="28" ht="15.75" customHeight="1">
      <c r="A28" s="8" t="s">
        <v>25</v>
      </c>
      <c r="B28" s="5" t="s">
        <v>26</v>
      </c>
      <c r="C28" s="7" t="s">
        <v>19</v>
      </c>
      <c r="D28" s="5">
        <v>150.0</v>
      </c>
      <c r="E28" s="5">
        <v>10.0</v>
      </c>
      <c r="F28" s="5">
        <v>1.0</v>
      </c>
      <c r="G28" s="7">
        <f t="shared" si="1"/>
        <v>1500</v>
      </c>
    </row>
    <row r="29" ht="15.75" customHeight="1">
      <c r="A29" s="8" t="s">
        <v>25</v>
      </c>
      <c r="B29" s="5" t="s">
        <v>26</v>
      </c>
      <c r="C29" s="5" t="s">
        <v>23</v>
      </c>
      <c r="D29" s="5">
        <v>200.0</v>
      </c>
      <c r="E29" s="5">
        <v>8.0</v>
      </c>
      <c r="F29" s="5">
        <v>1.0</v>
      </c>
      <c r="G29" s="7">
        <f t="shared" si="1"/>
        <v>1600</v>
      </c>
    </row>
    <row r="30" ht="15.75" customHeight="1">
      <c r="A30" s="8" t="s">
        <v>25</v>
      </c>
      <c r="B30" s="5" t="s">
        <v>26</v>
      </c>
      <c r="C30" s="5" t="s">
        <v>11</v>
      </c>
      <c r="D30" s="5">
        <v>280.0</v>
      </c>
      <c r="E30" s="5">
        <v>10.0</v>
      </c>
      <c r="F30" s="5">
        <v>1.0</v>
      </c>
      <c r="G30" s="7">
        <f t="shared" si="1"/>
        <v>2800</v>
      </c>
    </row>
    <row r="31" ht="15.75" customHeight="1">
      <c r="A31" s="8" t="s">
        <v>25</v>
      </c>
      <c r="B31" s="5" t="s">
        <v>26</v>
      </c>
      <c r="C31" s="5" t="s">
        <v>27</v>
      </c>
      <c r="D31" s="5">
        <v>500.0</v>
      </c>
      <c r="E31" s="5">
        <v>1.0</v>
      </c>
      <c r="F31" s="5">
        <v>1.0</v>
      </c>
      <c r="G31" s="7">
        <f t="shared" si="1"/>
        <v>500</v>
      </c>
    </row>
    <row r="32" ht="15.75" customHeight="1">
      <c r="A32" s="8" t="s">
        <v>25</v>
      </c>
      <c r="B32" s="5" t="s">
        <v>26</v>
      </c>
      <c r="C32" s="5" t="s">
        <v>16</v>
      </c>
      <c r="D32" s="5">
        <v>200.0</v>
      </c>
      <c r="E32" s="5">
        <v>6.0</v>
      </c>
      <c r="F32" s="5">
        <v>1.0</v>
      </c>
      <c r="G32" s="7">
        <f t="shared" si="1"/>
        <v>1200</v>
      </c>
    </row>
    <row r="33" ht="15.75" customHeight="1">
      <c r="A33" s="8" t="s">
        <v>25</v>
      </c>
      <c r="B33" s="5" t="s">
        <v>26</v>
      </c>
      <c r="C33" s="7" t="s">
        <v>20</v>
      </c>
      <c r="D33" s="5">
        <v>1200.0</v>
      </c>
      <c r="E33" s="5">
        <v>0.5</v>
      </c>
      <c r="F33" s="5">
        <v>1.0</v>
      </c>
      <c r="G33" s="7">
        <f t="shared" si="1"/>
        <v>600</v>
      </c>
    </row>
    <row r="34" ht="15.75" customHeight="1">
      <c r="A34" s="8" t="s">
        <v>28</v>
      </c>
      <c r="B34" s="5" t="s">
        <v>29</v>
      </c>
      <c r="C34" s="7" t="s">
        <v>9</v>
      </c>
      <c r="D34" s="5">
        <v>54.0</v>
      </c>
      <c r="E34" s="5">
        <v>8.0</v>
      </c>
      <c r="F34" s="5">
        <v>1.0</v>
      </c>
      <c r="G34" s="7">
        <f t="shared" si="1"/>
        <v>432</v>
      </c>
    </row>
    <row r="35" ht="15.75" customHeight="1">
      <c r="A35" s="8" t="s">
        <v>28</v>
      </c>
      <c r="B35" s="5" t="s">
        <v>29</v>
      </c>
      <c r="C35" s="7" t="s">
        <v>19</v>
      </c>
      <c r="D35" s="5">
        <v>150.0</v>
      </c>
      <c r="E35" s="5">
        <v>8.0</v>
      </c>
      <c r="F35" s="5">
        <v>1.0</v>
      </c>
      <c r="G35" s="7">
        <f t="shared" si="1"/>
        <v>1200</v>
      </c>
    </row>
    <row r="36" ht="15.75" customHeight="1">
      <c r="A36" s="8" t="s">
        <v>28</v>
      </c>
      <c r="B36" s="5" t="s">
        <v>29</v>
      </c>
      <c r="C36" s="5" t="s">
        <v>16</v>
      </c>
      <c r="D36" s="5">
        <v>100.0</v>
      </c>
      <c r="E36" s="5">
        <v>5.0</v>
      </c>
      <c r="F36" s="5">
        <v>1.0</v>
      </c>
      <c r="G36" s="7">
        <f t="shared" si="1"/>
        <v>500</v>
      </c>
    </row>
    <row r="37" ht="15.75" customHeight="1">
      <c r="A37" s="8" t="s">
        <v>28</v>
      </c>
      <c r="B37" s="5" t="s">
        <v>29</v>
      </c>
      <c r="C37" s="5" t="s">
        <v>11</v>
      </c>
      <c r="D37" s="5">
        <v>140.0</v>
      </c>
      <c r="E37" s="5">
        <v>8.0</v>
      </c>
      <c r="F37" s="5">
        <v>1.0</v>
      </c>
      <c r="G37" s="7">
        <f t="shared" si="1"/>
        <v>1120</v>
      </c>
    </row>
    <row r="38" ht="15.75" customHeight="1">
      <c r="A38" s="8" t="s">
        <v>28</v>
      </c>
      <c r="B38" s="5" t="s">
        <v>29</v>
      </c>
      <c r="C38" s="5" t="s">
        <v>12</v>
      </c>
      <c r="D38" s="5">
        <v>60.0</v>
      </c>
      <c r="E38" s="5">
        <v>4.0</v>
      </c>
      <c r="F38" s="5">
        <v>1.0</v>
      </c>
      <c r="G38" s="7">
        <f t="shared" si="1"/>
        <v>240</v>
      </c>
    </row>
    <row r="39" ht="15.75" customHeight="1">
      <c r="A39" s="8" t="s">
        <v>30</v>
      </c>
      <c r="B39" s="5" t="s">
        <v>31</v>
      </c>
      <c r="C39" s="7" t="s">
        <v>9</v>
      </c>
      <c r="D39" s="5">
        <v>36.0</v>
      </c>
      <c r="E39" s="5">
        <v>8.0</v>
      </c>
      <c r="F39" s="5">
        <v>1.0</v>
      </c>
      <c r="G39" s="7">
        <f t="shared" si="1"/>
        <v>288</v>
      </c>
    </row>
    <row r="40" ht="15.75" customHeight="1">
      <c r="A40" s="8" t="s">
        <v>30</v>
      </c>
      <c r="B40" s="5" t="s">
        <v>31</v>
      </c>
      <c r="C40" s="7" t="s">
        <v>19</v>
      </c>
      <c r="D40" s="5">
        <v>150.0</v>
      </c>
      <c r="E40" s="5">
        <v>8.0</v>
      </c>
      <c r="F40" s="5">
        <v>1.0</v>
      </c>
      <c r="G40" s="7">
        <f t="shared" si="1"/>
        <v>1200</v>
      </c>
    </row>
    <row r="41" ht="15.75" customHeight="1">
      <c r="A41" s="8" t="s">
        <v>30</v>
      </c>
      <c r="B41" s="5" t="s">
        <v>31</v>
      </c>
      <c r="C41" s="5" t="s">
        <v>16</v>
      </c>
      <c r="D41" s="5">
        <v>100.0</v>
      </c>
      <c r="E41" s="5">
        <v>5.0</v>
      </c>
      <c r="F41" s="5">
        <v>1.0</v>
      </c>
      <c r="G41" s="7">
        <f t="shared" si="1"/>
        <v>500</v>
      </c>
    </row>
    <row r="42" ht="15.75" customHeight="1">
      <c r="A42" s="8" t="s">
        <v>30</v>
      </c>
      <c r="B42" s="5" t="s">
        <v>31</v>
      </c>
      <c r="C42" s="5" t="s">
        <v>11</v>
      </c>
      <c r="D42" s="5">
        <v>70.0</v>
      </c>
      <c r="E42" s="5">
        <v>8.0</v>
      </c>
      <c r="F42" s="5">
        <v>1.0</v>
      </c>
      <c r="G42" s="7">
        <f t="shared" si="1"/>
        <v>560</v>
      </c>
    </row>
    <row r="43" ht="15.75" customHeight="1">
      <c r="A43" s="8" t="s">
        <v>30</v>
      </c>
      <c r="B43" s="5" t="s">
        <v>31</v>
      </c>
      <c r="C43" s="7" t="s">
        <v>20</v>
      </c>
      <c r="D43" s="5">
        <v>1200.0</v>
      </c>
      <c r="E43" s="5">
        <v>0.5</v>
      </c>
      <c r="F43" s="5">
        <v>1.0</v>
      </c>
      <c r="G43" s="7">
        <f t="shared" si="1"/>
        <v>600</v>
      </c>
    </row>
    <row r="44" ht="15.75" customHeight="1">
      <c r="A44" s="8" t="s">
        <v>32</v>
      </c>
      <c r="B44" s="5" t="s">
        <v>33</v>
      </c>
      <c r="C44" s="7" t="s">
        <v>9</v>
      </c>
      <c r="D44" s="5">
        <v>45.0</v>
      </c>
      <c r="E44" s="5">
        <v>10.0</v>
      </c>
      <c r="F44" s="5">
        <v>1.0</v>
      </c>
      <c r="G44" s="7">
        <f t="shared" si="1"/>
        <v>450</v>
      </c>
    </row>
    <row r="45" ht="15.75" customHeight="1">
      <c r="A45" s="8" t="s">
        <v>32</v>
      </c>
      <c r="B45" s="5" t="s">
        <v>33</v>
      </c>
      <c r="C45" s="7" t="s">
        <v>19</v>
      </c>
      <c r="D45" s="5">
        <v>150.0</v>
      </c>
      <c r="E45" s="5">
        <v>10.0</v>
      </c>
      <c r="F45" s="5">
        <v>1.0</v>
      </c>
      <c r="G45" s="7">
        <f t="shared" si="1"/>
        <v>1500</v>
      </c>
    </row>
    <row r="46" ht="15.75" customHeight="1">
      <c r="A46" s="8" t="s">
        <v>32</v>
      </c>
      <c r="B46" s="5" t="s">
        <v>33</v>
      </c>
      <c r="C46" s="5" t="s">
        <v>16</v>
      </c>
      <c r="D46" s="5">
        <v>100.0</v>
      </c>
      <c r="E46" s="5">
        <v>8.0</v>
      </c>
      <c r="F46" s="5">
        <v>1.0</v>
      </c>
      <c r="G46" s="7">
        <f t="shared" si="1"/>
        <v>800</v>
      </c>
    </row>
    <row r="47" ht="15.75" customHeight="1">
      <c r="A47" s="8" t="s">
        <v>32</v>
      </c>
      <c r="B47" s="5" t="s">
        <v>33</v>
      </c>
      <c r="C47" s="5" t="s">
        <v>11</v>
      </c>
      <c r="D47" s="5">
        <v>140.0</v>
      </c>
      <c r="E47" s="5">
        <v>10.0</v>
      </c>
      <c r="F47" s="5">
        <v>1.0</v>
      </c>
      <c r="G47" s="7">
        <f t="shared" si="1"/>
        <v>1400</v>
      </c>
    </row>
    <row r="48" ht="15.75" customHeight="1">
      <c r="A48" s="8" t="s">
        <v>32</v>
      </c>
      <c r="B48" s="5" t="s">
        <v>33</v>
      </c>
      <c r="C48" s="7" t="s">
        <v>20</v>
      </c>
      <c r="D48" s="5">
        <v>1200.0</v>
      </c>
      <c r="E48" s="5">
        <v>0.5</v>
      </c>
      <c r="F48" s="5">
        <v>1.0</v>
      </c>
      <c r="G48" s="7">
        <f t="shared" si="1"/>
        <v>600</v>
      </c>
    </row>
    <row r="49" ht="15.75" customHeight="1">
      <c r="A49" s="8" t="s">
        <v>34</v>
      </c>
      <c r="B49" s="5" t="s">
        <v>35</v>
      </c>
      <c r="C49" s="7" t="s">
        <v>9</v>
      </c>
      <c r="D49" s="5">
        <v>54.0</v>
      </c>
      <c r="E49" s="5">
        <v>12.0</v>
      </c>
      <c r="F49" s="5">
        <v>1.0</v>
      </c>
      <c r="G49" s="7">
        <f t="shared" si="1"/>
        <v>648</v>
      </c>
    </row>
    <row r="50" ht="15.75" customHeight="1">
      <c r="A50" s="8" t="s">
        <v>34</v>
      </c>
      <c r="B50" s="5" t="s">
        <v>35</v>
      </c>
      <c r="C50" s="7" t="s">
        <v>19</v>
      </c>
      <c r="D50" s="5">
        <v>150.0</v>
      </c>
      <c r="E50" s="5">
        <v>12.0</v>
      </c>
      <c r="F50" s="5">
        <v>1.0</v>
      </c>
      <c r="G50" s="7">
        <f t="shared" si="1"/>
        <v>1800</v>
      </c>
    </row>
    <row r="51" ht="15.75" customHeight="1">
      <c r="A51" s="8" t="s">
        <v>34</v>
      </c>
      <c r="B51" s="5" t="s">
        <v>35</v>
      </c>
      <c r="C51" s="5" t="s">
        <v>36</v>
      </c>
      <c r="D51" s="5">
        <v>200.0</v>
      </c>
      <c r="E51" s="5">
        <v>10.0</v>
      </c>
      <c r="F51" s="5">
        <v>1.0</v>
      </c>
      <c r="G51" s="7">
        <f t="shared" si="1"/>
        <v>2000</v>
      </c>
    </row>
    <row r="52" ht="15.75" customHeight="1">
      <c r="A52" s="8" t="s">
        <v>34</v>
      </c>
      <c r="B52" s="5" t="s">
        <v>35</v>
      </c>
      <c r="C52" s="5" t="s">
        <v>16</v>
      </c>
      <c r="D52" s="5">
        <v>100.0</v>
      </c>
      <c r="E52" s="5">
        <v>10.0</v>
      </c>
      <c r="F52" s="5">
        <v>1.0</v>
      </c>
      <c r="G52" s="7">
        <f t="shared" si="1"/>
        <v>1000</v>
      </c>
    </row>
    <row r="53" ht="15.75" customHeight="1">
      <c r="A53" s="8" t="s">
        <v>34</v>
      </c>
      <c r="B53" s="5" t="s">
        <v>35</v>
      </c>
      <c r="C53" s="5" t="s">
        <v>11</v>
      </c>
      <c r="D53" s="5">
        <v>210.0</v>
      </c>
      <c r="E53" s="5">
        <v>12.0</v>
      </c>
      <c r="F53" s="5">
        <v>1.0</v>
      </c>
      <c r="G53" s="7">
        <f t="shared" si="1"/>
        <v>2520</v>
      </c>
    </row>
    <row r="54" ht="15.75" customHeight="1">
      <c r="A54" s="8" t="s">
        <v>37</v>
      </c>
      <c r="B54" s="5" t="s">
        <v>38</v>
      </c>
      <c r="C54" s="7" t="s">
        <v>9</v>
      </c>
      <c r="D54" s="5">
        <v>180.0</v>
      </c>
      <c r="E54" s="5">
        <v>12.0</v>
      </c>
      <c r="F54" s="5">
        <v>1.0</v>
      </c>
      <c r="G54" s="7">
        <f t="shared" si="1"/>
        <v>2160</v>
      </c>
    </row>
    <row r="55" ht="15.75" customHeight="1">
      <c r="A55" s="8" t="s">
        <v>37</v>
      </c>
      <c r="B55" s="5" t="s">
        <v>38</v>
      </c>
      <c r="C55" s="7" t="s">
        <v>19</v>
      </c>
      <c r="D55" s="5">
        <v>150.0</v>
      </c>
      <c r="E55" s="5">
        <v>10.0</v>
      </c>
      <c r="F55" s="5">
        <v>1.0</v>
      </c>
      <c r="G55" s="7">
        <f t="shared" si="1"/>
        <v>1500</v>
      </c>
    </row>
    <row r="56" ht="15.75" customHeight="1">
      <c r="A56" s="8" t="s">
        <v>37</v>
      </c>
      <c r="B56" s="5" t="s">
        <v>38</v>
      </c>
      <c r="C56" s="5" t="s">
        <v>36</v>
      </c>
      <c r="D56" s="5">
        <v>400.0</v>
      </c>
      <c r="E56" s="5">
        <v>8.0</v>
      </c>
      <c r="F56" s="5">
        <v>1.0</v>
      </c>
      <c r="G56" s="7">
        <f t="shared" si="1"/>
        <v>3200</v>
      </c>
    </row>
    <row r="57" ht="15.75" customHeight="1">
      <c r="A57" s="8" t="s">
        <v>37</v>
      </c>
      <c r="B57" s="5" t="s">
        <v>38</v>
      </c>
      <c r="C57" s="5" t="s">
        <v>11</v>
      </c>
      <c r="D57" s="5">
        <v>350.0</v>
      </c>
      <c r="E57" s="5">
        <v>12.0</v>
      </c>
      <c r="F57" s="5">
        <v>1.0</v>
      </c>
      <c r="G57" s="7">
        <f t="shared" si="1"/>
        <v>4200</v>
      </c>
    </row>
    <row r="58" ht="15.75" customHeight="1">
      <c r="A58" s="8" t="s">
        <v>37</v>
      </c>
      <c r="B58" s="5" t="s">
        <v>38</v>
      </c>
      <c r="C58" s="7" t="s">
        <v>27</v>
      </c>
      <c r="D58" s="5">
        <v>500.0</v>
      </c>
      <c r="E58" s="5">
        <v>1.0</v>
      </c>
      <c r="F58" s="5">
        <v>1.0</v>
      </c>
      <c r="G58" s="7">
        <f t="shared" si="1"/>
        <v>500</v>
      </c>
    </row>
    <row r="59" ht="15.75" customHeight="1">
      <c r="A59" s="8" t="s">
        <v>37</v>
      </c>
      <c r="B59" s="5" t="s">
        <v>38</v>
      </c>
      <c r="C59" s="7" t="s">
        <v>20</v>
      </c>
      <c r="D59" s="5">
        <v>1200.0</v>
      </c>
      <c r="E59" s="5">
        <v>1.0</v>
      </c>
      <c r="F59" s="5">
        <v>1.0</v>
      </c>
      <c r="G59" s="7">
        <f t="shared" si="1"/>
        <v>1200</v>
      </c>
    </row>
    <row r="60" ht="15.75" customHeight="1">
      <c r="A60" s="8" t="s">
        <v>37</v>
      </c>
      <c r="B60" s="5" t="s">
        <v>38</v>
      </c>
      <c r="C60" s="5" t="s">
        <v>39</v>
      </c>
      <c r="D60" s="5">
        <v>750.0</v>
      </c>
      <c r="E60" s="5">
        <v>0.5</v>
      </c>
      <c r="F60" s="5">
        <v>1.0</v>
      </c>
      <c r="G60" s="7">
        <f t="shared" si="1"/>
        <v>375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A2:A60">
      <formula1>"JJC,Solo Flexer,Small Chop Family,Hustling Household,Extended Family,Ajebutter Couples,Empty Nesters,Golden Years,Homebound Heroes,Family Compound"</formula1>
    </dataValidation>
    <dataValidation type="custom" allowBlank="1" showDropDown="1" sqref="D2:E60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43.0"/>
    <col customWidth="1" min="3" max="3" width="25.43"/>
    <col customWidth="1" min="4" max="4" width="21.71"/>
    <col customWidth="1" min="5" max="5" width="25.0"/>
    <col customWidth="1" min="6" max="7" width="43.0"/>
    <col customWidth="1" min="8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22.5" customHeight="1">
      <c r="A2" s="8" t="s">
        <v>40</v>
      </c>
      <c r="B2" s="5" t="s">
        <v>41</v>
      </c>
      <c r="C2" s="5" t="s">
        <v>42</v>
      </c>
      <c r="D2" s="5">
        <v>90.0</v>
      </c>
      <c r="E2" s="5">
        <v>12.0</v>
      </c>
      <c r="F2" s="5">
        <v>1.0</v>
      </c>
      <c r="G2" s="6">
        <f t="shared" ref="G2:G67" si="1">D2*E2*F2</f>
        <v>1080</v>
      </c>
    </row>
    <row r="3" ht="22.5" customHeight="1">
      <c r="A3" s="8" t="s">
        <v>40</v>
      </c>
      <c r="B3" s="5" t="s">
        <v>41</v>
      </c>
      <c r="C3" s="5" t="s">
        <v>43</v>
      </c>
      <c r="D3" s="5">
        <v>1500.0</v>
      </c>
      <c r="E3" s="5">
        <v>8.0</v>
      </c>
      <c r="F3" s="5">
        <v>1.0</v>
      </c>
      <c r="G3" s="6">
        <f t="shared" si="1"/>
        <v>12000</v>
      </c>
    </row>
    <row r="4" ht="22.5" customHeight="1">
      <c r="A4" s="8" t="s">
        <v>40</v>
      </c>
      <c r="B4" s="5" t="s">
        <v>41</v>
      </c>
      <c r="C4" s="5" t="s">
        <v>44</v>
      </c>
      <c r="D4" s="5">
        <v>150.0</v>
      </c>
      <c r="E4" s="5">
        <v>24.0</v>
      </c>
      <c r="F4" s="5">
        <v>1.0</v>
      </c>
      <c r="G4" s="6">
        <f t="shared" si="1"/>
        <v>3600</v>
      </c>
    </row>
    <row r="5" ht="22.5" customHeight="1">
      <c r="A5" s="8" t="s">
        <v>40</v>
      </c>
      <c r="B5" s="5" t="s">
        <v>41</v>
      </c>
      <c r="C5" s="5" t="s">
        <v>45</v>
      </c>
      <c r="D5" s="5">
        <v>1200.0</v>
      </c>
      <c r="E5" s="5">
        <v>1.0</v>
      </c>
      <c r="F5" s="5">
        <v>1.0</v>
      </c>
      <c r="G5" s="6">
        <f t="shared" si="1"/>
        <v>1200</v>
      </c>
    </row>
    <row r="6" ht="22.5" customHeight="1">
      <c r="A6" s="8" t="s">
        <v>40</v>
      </c>
      <c r="B6" s="5" t="s">
        <v>41</v>
      </c>
      <c r="C6" s="5" t="s">
        <v>27</v>
      </c>
      <c r="D6" s="5">
        <v>500.0</v>
      </c>
      <c r="E6" s="5">
        <v>1.0</v>
      </c>
      <c r="F6" s="5">
        <v>1.0</v>
      </c>
      <c r="G6" s="6">
        <f t="shared" si="1"/>
        <v>500</v>
      </c>
    </row>
    <row r="7" ht="22.5" customHeight="1">
      <c r="A7" s="8" t="s">
        <v>40</v>
      </c>
      <c r="B7" s="5" t="s">
        <v>41</v>
      </c>
      <c r="C7" s="5" t="s">
        <v>46</v>
      </c>
      <c r="D7" s="5">
        <v>100.0</v>
      </c>
      <c r="E7" s="5">
        <v>5.0</v>
      </c>
      <c r="F7" s="5">
        <v>1.0</v>
      </c>
      <c r="G7" s="6">
        <f t="shared" si="1"/>
        <v>500</v>
      </c>
    </row>
    <row r="8" ht="22.5" customHeight="1">
      <c r="A8" s="8" t="s">
        <v>40</v>
      </c>
      <c r="B8" s="5" t="s">
        <v>41</v>
      </c>
      <c r="C8" s="5" t="s">
        <v>13</v>
      </c>
      <c r="D8" s="5">
        <v>10.0</v>
      </c>
      <c r="E8" s="5">
        <v>12.0</v>
      </c>
      <c r="F8" s="5">
        <v>1.0</v>
      </c>
      <c r="G8" s="6">
        <f t="shared" si="1"/>
        <v>120</v>
      </c>
    </row>
    <row r="9" ht="22.5" customHeight="1">
      <c r="A9" s="8" t="s">
        <v>47</v>
      </c>
      <c r="B9" s="5" t="s">
        <v>48</v>
      </c>
      <c r="C9" s="5" t="s">
        <v>49</v>
      </c>
      <c r="D9" s="5">
        <v>45.0</v>
      </c>
      <c r="E9" s="5">
        <v>16.0</v>
      </c>
      <c r="F9" s="5">
        <v>1.0</v>
      </c>
      <c r="G9" s="6">
        <f t="shared" si="1"/>
        <v>720</v>
      </c>
    </row>
    <row r="10" ht="22.5" customHeight="1">
      <c r="A10" s="8" t="s">
        <v>47</v>
      </c>
      <c r="B10" s="5" t="s">
        <v>48</v>
      </c>
      <c r="C10" s="5" t="s">
        <v>50</v>
      </c>
      <c r="D10" s="5">
        <v>1500.0</v>
      </c>
      <c r="E10" s="5">
        <v>8.0</v>
      </c>
      <c r="F10" s="5">
        <v>1.0</v>
      </c>
      <c r="G10" s="6">
        <f t="shared" si="1"/>
        <v>12000</v>
      </c>
    </row>
    <row r="11" ht="22.5" customHeight="1">
      <c r="A11" s="8" t="s">
        <v>47</v>
      </c>
      <c r="B11" s="5" t="s">
        <v>48</v>
      </c>
      <c r="C11" s="5" t="s">
        <v>44</v>
      </c>
      <c r="D11" s="5">
        <v>150.0</v>
      </c>
      <c r="E11" s="5">
        <v>12.0</v>
      </c>
      <c r="F11" s="5">
        <v>1.0</v>
      </c>
      <c r="G11" s="6">
        <f t="shared" si="1"/>
        <v>1800</v>
      </c>
    </row>
    <row r="12" ht="22.5" customHeight="1">
      <c r="A12" s="8" t="s">
        <v>47</v>
      </c>
      <c r="B12" s="5" t="s">
        <v>48</v>
      </c>
      <c r="C12" s="5" t="s">
        <v>51</v>
      </c>
      <c r="D12" s="5">
        <v>2000.0</v>
      </c>
      <c r="E12" s="5">
        <v>6.0</v>
      </c>
      <c r="F12" s="5">
        <v>1.0</v>
      </c>
      <c r="G12" s="6">
        <f t="shared" si="1"/>
        <v>12000</v>
      </c>
    </row>
    <row r="13" ht="22.5" customHeight="1">
      <c r="A13" s="8" t="s">
        <v>47</v>
      </c>
      <c r="B13" s="5" t="s">
        <v>48</v>
      </c>
      <c r="C13" s="5" t="s">
        <v>39</v>
      </c>
      <c r="D13" s="5">
        <v>750.0</v>
      </c>
      <c r="E13" s="5">
        <v>6.0</v>
      </c>
      <c r="F13" s="5">
        <v>1.0</v>
      </c>
      <c r="G13" s="6">
        <f t="shared" si="1"/>
        <v>4500</v>
      </c>
    </row>
    <row r="14" ht="22.5" customHeight="1">
      <c r="A14" s="8" t="s">
        <v>47</v>
      </c>
      <c r="B14" s="5" t="s">
        <v>48</v>
      </c>
      <c r="C14" s="5" t="s">
        <v>46</v>
      </c>
      <c r="D14" s="5">
        <v>100.0</v>
      </c>
      <c r="E14" s="5">
        <v>4.0</v>
      </c>
      <c r="F14" s="5">
        <v>1.0</v>
      </c>
      <c r="G14" s="6">
        <f t="shared" si="1"/>
        <v>400</v>
      </c>
    </row>
    <row r="15" ht="22.5" customHeight="1">
      <c r="A15" s="8" t="s">
        <v>47</v>
      </c>
      <c r="B15" s="5" t="s">
        <v>48</v>
      </c>
      <c r="C15" s="5" t="s">
        <v>52</v>
      </c>
      <c r="D15" s="5">
        <v>3000.0</v>
      </c>
      <c r="E15" s="5">
        <v>2.0</v>
      </c>
      <c r="F15" s="5">
        <v>1.0</v>
      </c>
      <c r="G15" s="6">
        <f t="shared" si="1"/>
        <v>6000</v>
      </c>
    </row>
    <row r="16" ht="22.5" customHeight="1">
      <c r="A16" s="8" t="s">
        <v>47</v>
      </c>
      <c r="B16" s="5" t="s">
        <v>48</v>
      </c>
      <c r="C16" s="5" t="s">
        <v>53</v>
      </c>
      <c r="D16" s="5">
        <v>1000.0</v>
      </c>
      <c r="E16" s="5">
        <v>4.0</v>
      </c>
      <c r="F16" s="5">
        <v>1.0</v>
      </c>
      <c r="G16" s="6">
        <f t="shared" si="1"/>
        <v>4000</v>
      </c>
    </row>
    <row r="17" ht="22.5" customHeight="1">
      <c r="A17" s="8" t="s">
        <v>54</v>
      </c>
      <c r="B17" s="5" t="s">
        <v>55</v>
      </c>
      <c r="C17" s="5" t="s">
        <v>56</v>
      </c>
      <c r="D17" s="5">
        <v>18.0</v>
      </c>
      <c r="E17" s="5">
        <v>24.0</v>
      </c>
      <c r="F17" s="5">
        <v>1.0</v>
      </c>
      <c r="G17" s="6">
        <f t="shared" si="1"/>
        <v>432</v>
      </c>
    </row>
    <row r="18" ht="22.5" customHeight="1">
      <c r="A18" s="8" t="s">
        <v>54</v>
      </c>
      <c r="B18" s="5" t="s">
        <v>55</v>
      </c>
      <c r="C18" s="5" t="s">
        <v>57</v>
      </c>
      <c r="D18" s="5">
        <v>300.0</v>
      </c>
      <c r="E18" s="5">
        <v>24.0</v>
      </c>
      <c r="F18" s="5">
        <v>1.0</v>
      </c>
      <c r="G18" s="6">
        <f t="shared" si="1"/>
        <v>7200</v>
      </c>
    </row>
    <row r="19" ht="22.5" customHeight="1">
      <c r="A19" s="8" t="s">
        <v>54</v>
      </c>
      <c r="B19" s="5" t="s">
        <v>55</v>
      </c>
      <c r="C19" s="5" t="s">
        <v>13</v>
      </c>
      <c r="D19" s="5">
        <v>10.0</v>
      </c>
      <c r="E19" s="5">
        <v>24.0</v>
      </c>
      <c r="F19" s="5">
        <v>1.0</v>
      </c>
      <c r="G19" s="6">
        <f t="shared" si="1"/>
        <v>240</v>
      </c>
    </row>
    <row r="20" ht="22.5" customHeight="1">
      <c r="A20" s="8" t="s">
        <v>54</v>
      </c>
      <c r="B20" s="5" t="s">
        <v>55</v>
      </c>
      <c r="C20" s="5" t="s">
        <v>58</v>
      </c>
      <c r="D20" s="5">
        <v>50.0</v>
      </c>
      <c r="E20" s="5">
        <v>24.0</v>
      </c>
      <c r="F20" s="5">
        <v>1.0</v>
      </c>
      <c r="G20" s="6">
        <f t="shared" si="1"/>
        <v>1200</v>
      </c>
    </row>
    <row r="21" ht="15.75" customHeight="1">
      <c r="A21" s="8" t="s">
        <v>54</v>
      </c>
      <c r="B21" s="5" t="s">
        <v>55</v>
      </c>
      <c r="C21" s="5" t="s">
        <v>59</v>
      </c>
      <c r="D21" s="5">
        <v>500.0</v>
      </c>
      <c r="E21" s="5">
        <v>12.0</v>
      </c>
      <c r="F21" s="5">
        <v>1.0</v>
      </c>
      <c r="G21" s="6">
        <f t="shared" si="1"/>
        <v>6000</v>
      </c>
    </row>
    <row r="22" ht="15.75" customHeight="1">
      <c r="A22" s="8" t="s">
        <v>60</v>
      </c>
      <c r="B22" s="5" t="s">
        <v>61</v>
      </c>
      <c r="C22" s="5" t="s">
        <v>62</v>
      </c>
      <c r="D22" s="5">
        <v>7500.0</v>
      </c>
      <c r="E22" s="5">
        <v>3.0</v>
      </c>
      <c r="F22" s="5">
        <v>1.0</v>
      </c>
      <c r="G22" s="6">
        <f t="shared" si="1"/>
        <v>22500</v>
      </c>
    </row>
    <row r="23" ht="15.75" customHeight="1">
      <c r="A23" s="8" t="s">
        <v>60</v>
      </c>
      <c r="B23" s="5" t="s">
        <v>61</v>
      </c>
      <c r="C23" s="5" t="s">
        <v>63</v>
      </c>
      <c r="D23" s="5">
        <v>5000.0</v>
      </c>
      <c r="E23" s="5">
        <v>1.0</v>
      </c>
      <c r="F23" s="5">
        <v>1.0</v>
      </c>
      <c r="G23" s="6">
        <f t="shared" si="1"/>
        <v>5000</v>
      </c>
    </row>
    <row r="24" ht="15.75" customHeight="1">
      <c r="A24" s="8" t="s">
        <v>60</v>
      </c>
      <c r="B24" s="5" t="s">
        <v>61</v>
      </c>
      <c r="C24" s="5" t="s">
        <v>42</v>
      </c>
      <c r="D24" s="5">
        <v>90.0</v>
      </c>
      <c r="E24" s="5">
        <v>12.0</v>
      </c>
      <c r="F24" s="5">
        <v>1.0</v>
      </c>
      <c r="G24" s="6">
        <f t="shared" si="1"/>
        <v>1080</v>
      </c>
    </row>
    <row r="25" ht="15.75" customHeight="1">
      <c r="A25" s="8" t="s">
        <v>60</v>
      </c>
      <c r="B25" s="5" t="s">
        <v>61</v>
      </c>
      <c r="C25" s="5" t="s">
        <v>64</v>
      </c>
      <c r="D25" s="5">
        <v>100.0</v>
      </c>
      <c r="E25" s="5">
        <v>6.0</v>
      </c>
      <c r="F25" s="5">
        <v>1.0</v>
      </c>
      <c r="G25" s="6">
        <f t="shared" si="1"/>
        <v>600</v>
      </c>
    </row>
    <row r="26" ht="15.75" customHeight="1">
      <c r="A26" s="8" t="s">
        <v>60</v>
      </c>
      <c r="B26" s="5" t="s">
        <v>61</v>
      </c>
      <c r="C26" s="5" t="s">
        <v>65</v>
      </c>
      <c r="D26" s="5">
        <v>3000.0</v>
      </c>
      <c r="E26" s="5">
        <v>8.0</v>
      </c>
      <c r="F26" s="5">
        <v>1.0</v>
      </c>
      <c r="G26" s="6">
        <f t="shared" si="1"/>
        <v>24000</v>
      </c>
    </row>
    <row r="27" ht="15.75" customHeight="1">
      <c r="A27" s="8" t="s">
        <v>60</v>
      </c>
      <c r="B27" s="5" t="s">
        <v>61</v>
      </c>
      <c r="C27" s="5" t="s">
        <v>39</v>
      </c>
      <c r="D27" s="5">
        <v>750.0</v>
      </c>
      <c r="E27" s="5">
        <v>3.0</v>
      </c>
      <c r="F27" s="5">
        <v>1.0</v>
      </c>
      <c r="G27" s="6">
        <f t="shared" si="1"/>
        <v>2250</v>
      </c>
    </row>
    <row r="28" ht="15.75" customHeight="1">
      <c r="A28" s="8" t="s">
        <v>66</v>
      </c>
      <c r="B28" s="5" t="s">
        <v>67</v>
      </c>
      <c r="C28" s="5" t="s">
        <v>68</v>
      </c>
      <c r="D28" s="5">
        <v>225.0</v>
      </c>
      <c r="E28" s="5">
        <v>8.0</v>
      </c>
      <c r="F28" s="5">
        <v>1.0</v>
      </c>
      <c r="G28" s="6">
        <f t="shared" si="1"/>
        <v>1800</v>
      </c>
    </row>
    <row r="29" ht="15.75" customHeight="1">
      <c r="A29" s="8" t="s">
        <v>66</v>
      </c>
      <c r="B29" s="5" t="s">
        <v>67</v>
      </c>
      <c r="C29" s="5" t="s">
        <v>69</v>
      </c>
      <c r="D29" s="5">
        <v>5000.0</v>
      </c>
      <c r="E29" s="5">
        <v>8.0</v>
      </c>
      <c r="F29" s="5">
        <v>1.0</v>
      </c>
      <c r="G29" s="6">
        <f t="shared" si="1"/>
        <v>40000</v>
      </c>
    </row>
    <row r="30" ht="15.75" customHeight="1">
      <c r="A30" s="8" t="s">
        <v>66</v>
      </c>
      <c r="B30" s="5" t="s">
        <v>67</v>
      </c>
      <c r="C30" s="5" t="s">
        <v>70</v>
      </c>
      <c r="D30" s="5">
        <v>600.0</v>
      </c>
      <c r="E30" s="5">
        <v>8.0</v>
      </c>
      <c r="F30" s="5">
        <v>1.0</v>
      </c>
      <c r="G30" s="6">
        <f t="shared" si="1"/>
        <v>4800</v>
      </c>
    </row>
    <row r="31" ht="15.75" customHeight="1">
      <c r="A31" s="8" t="s">
        <v>66</v>
      </c>
      <c r="B31" s="5" t="s">
        <v>67</v>
      </c>
      <c r="C31" s="5" t="s">
        <v>71</v>
      </c>
      <c r="D31" s="5">
        <v>200.0</v>
      </c>
      <c r="E31" s="5">
        <v>4.0</v>
      </c>
      <c r="F31" s="5">
        <v>1.0</v>
      </c>
      <c r="G31" s="6">
        <f t="shared" si="1"/>
        <v>800</v>
      </c>
    </row>
    <row r="32" ht="15.75" customHeight="1">
      <c r="A32" s="8" t="s">
        <v>66</v>
      </c>
      <c r="B32" s="5" t="s">
        <v>67</v>
      </c>
      <c r="C32" s="5" t="s">
        <v>45</v>
      </c>
      <c r="D32" s="5">
        <v>1200.0</v>
      </c>
      <c r="E32" s="5">
        <v>1.0</v>
      </c>
      <c r="F32" s="5">
        <v>1.0</v>
      </c>
      <c r="G32" s="6">
        <f t="shared" si="1"/>
        <v>1200</v>
      </c>
    </row>
    <row r="33" ht="15.75" customHeight="1">
      <c r="A33" s="8" t="s">
        <v>66</v>
      </c>
      <c r="B33" s="5" t="s">
        <v>67</v>
      </c>
      <c r="C33" s="5" t="s">
        <v>13</v>
      </c>
      <c r="D33" s="5">
        <v>10.0</v>
      </c>
      <c r="E33" s="5">
        <v>8.0</v>
      </c>
      <c r="F33" s="5">
        <v>1.0</v>
      </c>
      <c r="G33" s="6">
        <f t="shared" si="1"/>
        <v>80</v>
      </c>
    </row>
    <row r="34" ht="15.75" customHeight="1">
      <c r="A34" s="8" t="s">
        <v>66</v>
      </c>
      <c r="B34" s="5" t="s">
        <v>67</v>
      </c>
      <c r="C34" s="5" t="s">
        <v>72</v>
      </c>
      <c r="D34" s="5">
        <v>150.0</v>
      </c>
      <c r="E34" s="5">
        <v>12.0</v>
      </c>
      <c r="F34" s="5">
        <v>1.0</v>
      </c>
      <c r="G34" s="6">
        <f t="shared" si="1"/>
        <v>1800</v>
      </c>
    </row>
    <row r="35" ht="15.75" customHeight="1">
      <c r="A35" s="8" t="s">
        <v>73</v>
      </c>
      <c r="B35" s="5" t="s">
        <v>74</v>
      </c>
      <c r="C35" s="5" t="s">
        <v>75</v>
      </c>
      <c r="D35" s="5">
        <v>135.0</v>
      </c>
      <c r="E35" s="5">
        <v>12.0</v>
      </c>
      <c r="F35" s="5">
        <v>1.0</v>
      </c>
      <c r="G35" s="6">
        <f t="shared" si="1"/>
        <v>1620</v>
      </c>
    </row>
    <row r="36" ht="15.75" customHeight="1">
      <c r="A36" s="8" t="s">
        <v>73</v>
      </c>
      <c r="B36" s="5" t="s">
        <v>74</v>
      </c>
      <c r="C36" s="5" t="s">
        <v>76</v>
      </c>
      <c r="D36" s="5">
        <v>200.0</v>
      </c>
      <c r="E36" s="5">
        <v>8.0</v>
      </c>
      <c r="F36" s="5">
        <v>1.0</v>
      </c>
      <c r="G36" s="6">
        <f t="shared" si="1"/>
        <v>1600</v>
      </c>
    </row>
    <row r="37" ht="15.75" customHeight="1">
      <c r="A37" s="8" t="s">
        <v>73</v>
      </c>
      <c r="B37" s="5" t="s">
        <v>74</v>
      </c>
      <c r="C37" s="5" t="s">
        <v>44</v>
      </c>
      <c r="D37" s="5">
        <v>150.0</v>
      </c>
      <c r="E37" s="5">
        <v>12.0</v>
      </c>
      <c r="F37" s="5">
        <v>1.0</v>
      </c>
      <c r="G37" s="6">
        <f t="shared" si="1"/>
        <v>1800</v>
      </c>
    </row>
    <row r="38" ht="15.75" customHeight="1">
      <c r="A38" s="8" t="s">
        <v>73</v>
      </c>
      <c r="B38" s="5" t="s">
        <v>74</v>
      </c>
      <c r="C38" s="5" t="s">
        <v>43</v>
      </c>
      <c r="D38" s="5">
        <v>3000.0</v>
      </c>
      <c r="E38" s="5">
        <v>8.0</v>
      </c>
      <c r="F38" s="5">
        <v>1.0</v>
      </c>
      <c r="G38" s="6">
        <f t="shared" si="1"/>
        <v>24000</v>
      </c>
    </row>
    <row r="39" ht="15.75" customHeight="1">
      <c r="A39" s="8" t="s">
        <v>73</v>
      </c>
      <c r="B39" s="5" t="s">
        <v>74</v>
      </c>
      <c r="C39" s="5" t="s">
        <v>13</v>
      </c>
      <c r="D39" s="5">
        <v>10.0</v>
      </c>
      <c r="E39" s="5">
        <v>12.0</v>
      </c>
      <c r="F39" s="5">
        <v>1.0</v>
      </c>
      <c r="G39" s="6">
        <f t="shared" si="1"/>
        <v>120</v>
      </c>
    </row>
    <row r="40" ht="15.75" customHeight="1">
      <c r="A40" s="8" t="s">
        <v>73</v>
      </c>
      <c r="B40" s="5" t="s">
        <v>74</v>
      </c>
      <c r="C40" s="5" t="s">
        <v>77</v>
      </c>
      <c r="D40" s="5">
        <v>150.0</v>
      </c>
      <c r="E40" s="5">
        <v>10.0</v>
      </c>
      <c r="F40" s="5">
        <v>1.0</v>
      </c>
      <c r="G40" s="6">
        <f t="shared" si="1"/>
        <v>1500</v>
      </c>
    </row>
    <row r="41" ht="15.75" customHeight="1">
      <c r="A41" s="8" t="s">
        <v>78</v>
      </c>
      <c r="B41" s="5" t="s">
        <v>79</v>
      </c>
      <c r="C41" s="5" t="s">
        <v>80</v>
      </c>
      <c r="D41" s="5">
        <v>270.0</v>
      </c>
      <c r="E41" s="5">
        <v>16.0</v>
      </c>
      <c r="F41" s="5">
        <v>1.0</v>
      </c>
      <c r="G41" s="6">
        <f t="shared" si="1"/>
        <v>4320</v>
      </c>
    </row>
    <row r="42" ht="15.75" customHeight="1">
      <c r="A42" s="8" t="s">
        <v>78</v>
      </c>
      <c r="B42" s="5" t="s">
        <v>79</v>
      </c>
      <c r="C42" s="5" t="s">
        <v>81</v>
      </c>
      <c r="D42" s="5">
        <v>450.0</v>
      </c>
      <c r="E42" s="5">
        <v>12.0</v>
      </c>
      <c r="F42" s="5">
        <v>1.0</v>
      </c>
      <c r="G42" s="6">
        <f t="shared" si="1"/>
        <v>5400</v>
      </c>
    </row>
    <row r="43" ht="15.75" customHeight="1">
      <c r="A43" s="8" t="s">
        <v>78</v>
      </c>
      <c r="B43" s="5" t="s">
        <v>79</v>
      </c>
      <c r="C43" s="5" t="s">
        <v>44</v>
      </c>
      <c r="D43" s="5">
        <v>150.0</v>
      </c>
      <c r="E43" s="5">
        <v>12.0</v>
      </c>
      <c r="F43" s="5">
        <v>1.0</v>
      </c>
      <c r="G43" s="6">
        <f t="shared" si="1"/>
        <v>1800</v>
      </c>
    </row>
    <row r="44" ht="15.75" customHeight="1">
      <c r="A44" s="8" t="s">
        <v>78</v>
      </c>
      <c r="B44" s="5" t="s">
        <v>79</v>
      </c>
      <c r="C44" s="5" t="s">
        <v>82</v>
      </c>
      <c r="D44" s="5">
        <v>6000.0</v>
      </c>
      <c r="E44" s="5">
        <v>8.0</v>
      </c>
      <c r="F44" s="5">
        <v>1.0</v>
      </c>
      <c r="G44" s="6">
        <f t="shared" si="1"/>
        <v>48000</v>
      </c>
    </row>
    <row r="45" ht="15.75" customHeight="1">
      <c r="A45" s="8" t="s">
        <v>78</v>
      </c>
      <c r="B45" s="5" t="s">
        <v>79</v>
      </c>
      <c r="C45" s="5" t="s">
        <v>45</v>
      </c>
      <c r="D45" s="5">
        <v>1200.0</v>
      </c>
      <c r="E45" s="5">
        <v>1.0</v>
      </c>
      <c r="F45" s="5">
        <v>1.0</v>
      </c>
      <c r="G45" s="6">
        <f t="shared" si="1"/>
        <v>1200</v>
      </c>
    </row>
    <row r="46" ht="15.75" customHeight="1">
      <c r="A46" s="8" t="s">
        <v>78</v>
      </c>
      <c r="B46" s="5" t="s">
        <v>79</v>
      </c>
      <c r="C46" s="5" t="s">
        <v>83</v>
      </c>
      <c r="D46" s="5">
        <v>100.0</v>
      </c>
      <c r="E46" s="5">
        <v>24.0</v>
      </c>
      <c r="F46" s="5">
        <v>1.0</v>
      </c>
      <c r="G46" s="6">
        <f t="shared" si="1"/>
        <v>2400</v>
      </c>
    </row>
    <row r="47" ht="15.75" customHeight="1">
      <c r="A47" s="8" t="s">
        <v>78</v>
      </c>
      <c r="B47" s="5" t="s">
        <v>79</v>
      </c>
      <c r="C47" s="5" t="s">
        <v>84</v>
      </c>
      <c r="D47" s="5">
        <v>150.0</v>
      </c>
      <c r="E47" s="5">
        <v>10.0</v>
      </c>
      <c r="F47" s="5">
        <v>1.0</v>
      </c>
      <c r="G47" s="6">
        <f t="shared" si="1"/>
        <v>1500</v>
      </c>
    </row>
    <row r="48" ht="15.75" customHeight="1">
      <c r="A48" s="8" t="s">
        <v>85</v>
      </c>
      <c r="B48" s="5" t="s">
        <v>86</v>
      </c>
      <c r="C48" s="5" t="s">
        <v>75</v>
      </c>
      <c r="D48" s="5">
        <v>135.0</v>
      </c>
      <c r="E48" s="5">
        <v>10.0</v>
      </c>
      <c r="F48" s="5">
        <v>1.0</v>
      </c>
      <c r="G48" s="6">
        <f t="shared" si="1"/>
        <v>1350</v>
      </c>
    </row>
    <row r="49" ht="15.75" customHeight="1">
      <c r="A49" s="8" t="s">
        <v>85</v>
      </c>
      <c r="B49" s="5" t="s">
        <v>86</v>
      </c>
      <c r="C49" s="5" t="s">
        <v>87</v>
      </c>
      <c r="D49" s="5">
        <v>4500.0</v>
      </c>
      <c r="E49" s="5">
        <v>8.0</v>
      </c>
      <c r="F49" s="5">
        <v>1.0</v>
      </c>
      <c r="G49" s="6">
        <f t="shared" si="1"/>
        <v>36000</v>
      </c>
    </row>
    <row r="50" ht="15.75" customHeight="1">
      <c r="A50" s="8" t="s">
        <v>85</v>
      </c>
      <c r="B50" s="5" t="s">
        <v>86</v>
      </c>
      <c r="C50" s="5" t="s">
        <v>44</v>
      </c>
      <c r="D50" s="5">
        <v>150.0</v>
      </c>
      <c r="E50" s="5">
        <v>16.0</v>
      </c>
      <c r="F50" s="5">
        <v>1.0</v>
      </c>
      <c r="G50" s="6">
        <f t="shared" si="1"/>
        <v>2400</v>
      </c>
    </row>
    <row r="51" ht="15.75" customHeight="1">
      <c r="A51" s="8" t="s">
        <v>85</v>
      </c>
      <c r="B51" s="5" t="s">
        <v>86</v>
      </c>
      <c r="C51" s="5" t="s">
        <v>77</v>
      </c>
      <c r="D51" s="5">
        <v>150.0</v>
      </c>
      <c r="E51" s="5">
        <v>16.0</v>
      </c>
      <c r="F51" s="5">
        <v>1.0</v>
      </c>
      <c r="G51" s="6">
        <f t="shared" si="1"/>
        <v>2400</v>
      </c>
    </row>
    <row r="52" ht="15.75" customHeight="1">
      <c r="A52" s="8" t="s">
        <v>85</v>
      </c>
      <c r="B52" s="5" t="s">
        <v>86</v>
      </c>
      <c r="C52" s="5" t="s">
        <v>88</v>
      </c>
      <c r="D52" s="5">
        <v>3000.0</v>
      </c>
      <c r="E52" s="5">
        <v>4.0</v>
      </c>
      <c r="F52" s="5">
        <v>1.0</v>
      </c>
      <c r="G52" s="6">
        <f t="shared" si="1"/>
        <v>12000</v>
      </c>
    </row>
    <row r="53" ht="15.75" customHeight="1">
      <c r="A53" s="8" t="s">
        <v>85</v>
      </c>
      <c r="B53" s="5" t="s">
        <v>86</v>
      </c>
      <c r="C53" s="5" t="s">
        <v>45</v>
      </c>
      <c r="D53" s="5">
        <v>1200.0</v>
      </c>
      <c r="E53" s="5">
        <v>2.0</v>
      </c>
      <c r="F53" s="5">
        <v>1.0</v>
      </c>
      <c r="G53" s="6">
        <f t="shared" si="1"/>
        <v>2400</v>
      </c>
    </row>
    <row r="54" ht="15.75" customHeight="1">
      <c r="A54" s="8" t="s">
        <v>85</v>
      </c>
      <c r="B54" s="5" t="s">
        <v>86</v>
      </c>
      <c r="C54" s="5" t="s">
        <v>89</v>
      </c>
      <c r="D54" s="5">
        <v>200.0</v>
      </c>
      <c r="E54" s="5">
        <v>10.0</v>
      </c>
      <c r="F54" s="5">
        <v>1.0</v>
      </c>
      <c r="G54" s="6">
        <f t="shared" si="1"/>
        <v>2000</v>
      </c>
    </row>
    <row r="55" ht="15.75" customHeight="1">
      <c r="A55" s="8" t="s">
        <v>90</v>
      </c>
      <c r="B55" s="5" t="s">
        <v>91</v>
      </c>
      <c r="C55" s="5" t="s">
        <v>92</v>
      </c>
      <c r="D55" s="5">
        <v>450.0</v>
      </c>
      <c r="E55" s="5">
        <v>12.0</v>
      </c>
      <c r="F55" s="5">
        <v>1.0</v>
      </c>
      <c r="G55" s="6">
        <f t="shared" si="1"/>
        <v>5400</v>
      </c>
    </row>
    <row r="56" ht="15.75" customHeight="1">
      <c r="A56" s="8" t="s">
        <v>90</v>
      </c>
      <c r="B56" s="5" t="s">
        <v>91</v>
      </c>
      <c r="C56" s="5" t="s">
        <v>93</v>
      </c>
      <c r="D56" s="5">
        <v>15000.0</v>
      </c>
      <c r="E56" s="5">
        <v>8.0</v>
      </c>
      <c r="F56" s="5">
        <v>1.0</v>
      </c>
      <c r="G56" s="6">
        <f t="shared" si="1"/>
        <v>120000</v>
      </c>
    </row>
    <row r="57" ht="15.75" customHeight="1">
      <c r="A57" s="8" t="s">
        <v>90</v>
      </c>
      <c r="B57" s="5" t="s">
        <v>91</v>
      </c>
      <c r="C57" s="5" t="s">
        <v>44</v>
      </c>
      <c r="D57" s="5">
        <v>150.0</v>
      </c>
      <c r="E57" s="5">
        <v>24.0</v>
      </c>
      <c r="F57" s="5">
        <v>1.0</v>
      </c>
      <c r="G57" s="6">
        <f t="shared" si="1"/>
        <v>3600</v>
      </c>
    </row>
    <row r="58" ht="15.75" customHeight="1">
      <c r="A58" s="8" t="s">
        <v>90</v>
      </c>
      <c r="B58" s="5" t="s">
        <v>91</v>
      </c>
      <c r="C58" s="5" t="s">
        <v>77</v>
      </c>
      <c r="D58" s="5">
        <v>150.0</v>
      </c>
      <c r="E58" s="5">
        <v>16.0</v>
      </c>
      <c r="F58" s="5">
        <v>1.0</v>
      </c>
      <c r="G58" s="6">
        <f t="shared" si="1"/>
        <v>2400</v>
      </c>
    </row>
    <row r="59" ht="15.75" customHeight="1">
      <c r="A59" s="8" t="s">
        <v>90</v>
      </c>
      <c r="B59" s="5" t="s">
        <v>91</v>
      </c>
      <c r="C59" s="5" t="s">
        <v>46</v>
      </c>
      <c r="D59" s="5">
        <v>100.0</v>
      </c>
      <c r="E59" s="5">
        <v>8.0</v>
      </c>
      <c r="F59" s="5">
        <v>1.0</v>
      </c>
      <c r="G59" s="6">
        <f t="shared" si="1"/>
        <v>800</v>
      </c>
    </row>
    <row r="60" ht="15.75" customHeight="1">
      <c r="A60" s="8" t="s">
        <v>90</v>
      </c>
      <c r="B60" s="5" t="s">
        <v>91</v>
      </c>
      <c r="C60" s="5" t="s">
        <v>45</v>
      </c>
      <c r="D60" s="5">
        <v>1200.0</v>
      </c>
      <c r="E60" s="5">
        <v>1.0</v>
      </c>
      <c r="F60" s="5">
        <v>1.0</v>
      </c>
      <c r="G60" s="6">
        <f t="shared" si="1"/>
        <v>1200</v>
      </c>
    </row>
    <row r="61" ht="15.75" customHeight="1">
      <c r="A61" s="8" t="s">
        <v>90</v>
      </c>
      <c r="B61" s="5" t="s">
        <v>91</v>
      </c>
      <c r="C61" s="5" t="s">
        <v>27</v>
      </c>
      <c r="D61" s="5">
        <v>500.0</v>
      </c>
      <c r="E61" s="5">
        <v>1.0</v>
      </c>
      <c r="F61" s="5">
        <v>1.0</v>
      </c>
      <c r="G61" s="6">
        <f t="shared" si="1"/>
        <v>500</v>
      </c>
    </row>
    <row r="62" ht="15.75" customHeight="1">
      <c r="A62" s="8" t="s">
        <v>94</v>
      </c>
      <c r="B62" s="5" t="s">
        <v>95</v>
      </c>
      <c r="C62" s="5" t="s">
        <v>96</v>
      </c>
      <c r="D62" s="5">
        <v>180.0</v>
      </c>
      <c r="E62" s="5">
        <v>12.0</v>
      </c>
      <c r="F62" s="5">
        <v>1.0</v>
      </c>
      <c r="G62" s="6">
        <f t="shared" si="1"/>
        <v>2160</v>
      </c>
    </row>
    <row r="63" ht="15.75" customHeight="1">
      <c r="A63" s="8" t="s">
        <v>94</v>
      </c>
      <c r="B63" s="5" t="s">
        <v>95</v>
      </c>
      <c r="C63" s="5" t="s">
        <v>97</v>
      </c>
      <c r="D63" s="5">
        <v>1000.0</v>
      </c>
      <c r="E63" s="5">
        <v>6.0</v>
      </c>
      <c r="F63" s="5">
        <v>1.0</v>
      </c>
      <c r="G63" s="6">
        <f t="shared" si="1"/>
        <v>6000</v>
      </c>
    </row>
    <row r="64" ht="15.75" customHeight="1">
      <c r="A64" s="8" t="s">
        <v>94</v>
      </c>
      <c r="B64" s="5" t="s">
        <v>95</v>
      </c>
      <c r="C64" s="5" t="s">
        <v>98</v>
      </c>
      <c r="D64" s="5">
        <v>200.0</v>
      </c>
      <c r="E64" s="5">
        <v>6.0</v>
      </c>
      <c r="F64" s="5">
        <v>1.0</v>
      </c>
      <c r="G64" s="6">
        <f t="shared" si="1"/>
        <v>1200</v>
      </c>
    </row>
    <row r="65" ht="15.75" customHeight="1">
      <c r="A65" s="8" t="s">
        <v>94</v>
      </c>
      <c r="B65" s="5" t="s">
        <v>95</v>
      </c>
      <c r="C65" s="5" t="s">
        <v>65</v>
      </c>
      <c r="D65" s="5">
        <v>3000.0</v>
      </c>
      <c r="E65" s="5">
        <v>6.0</v>
      </c>
      <c r="F65" s="5">
        <v>1.0</v>
      </c>
      <c r="G65" s="6">
        <f t="shared" si="1"/>
        <v>18000</v>
      </c>
    </row>
    <row r="66" ht="15.75" customHeight="1">
      <c r="A66" s="8" t="s">
        <v>94</v>
      </c>
      <c r="B66" s="5" t="s">
        <v>95</v>
      </c>
      <c r="C66" s="5" t="s">
        <v>77</v>
      </c>
      <c r="D66" s="5">
        <v>150.0</v>
      </c>
      <c r="E66" s="5">
        <v>12.0</v>
      </c>
      <c r="F66" s="5">
        <v>1.0</v>
      </c>
      <c r="G66" s="6">
        <f t="shared" si="1"/>
        <v>1800</v>
      </c>
    </row>
    <row r="67" ht="15.75" customHeight="1">
      <c r="A67" s="8" t="s">
        <v>94</v>
      </c>
      <c r="B67" s="5" t="s">
        <v>95</v>
      </c>
      <c r="C67" s="5" t="s">
        <v>99</v>
      </c>
      <c r="D67" s="5">
        <v>100.0</v>
      </c>
      <c r="E67" s="5">
        <v>8.0</v>
      </c>
      <c r="F67" s="5">
        <v>1.0</v>
      </c>
      <c r="G67" s="6">
        <f t="shared" si="1"/>
        <v>800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E67 G2:G67">
      <formula1>AND(ISNUMBER(D2),(NOT(OR(NOT(ISERROR(DATEVALUE(D2))), AND(ISNUMBER(D2), LEFT(CELL("format", D2))="D")))))</formula1>
    </dataValidation>
    <dataValidation type="list" allowBlank="1" showDropDown="1" showErrorMessage="1" sqref="A2:A67">
      <formula1>"Shortlets,Agriculture,Bank ATMs,Transportation,Office Complex,Retail Stores,Supermarkets,Restaurants,Hotels,Gyms/Fitness Centers"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57"/>
    <col customWidth="1" min="3" max="3" width="20.14"/>
    <col customWidth="1" min="4" max="4" width="17.14"/>
    <col customWidth="1" min="5" max="5" width="22.43"/>
  </cols>
  <sheetData>
    <row r="1">
      <c r="A1" s="9" t="s">
        <v>2</v>
      </c>
      <c r="B1" s="9" t="s">
        <v>100</v>
      </c>
      <c r="C1" s="9" t="s">
        <v>101</v>
      </c>
      <c r="D1" s="10" t="s">
        <v>5</v>
      </c>
      <c r="E1" s="9" t="s">
        <v>102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1" t="s">
        <v>9</v>
      </c>
      <c r="B2" s="12">
        <v>15.0</v>
      </c>
      <c r="C2" s="12">
        <v>6.0</v>
      </c>
      <c r="D2" s="13">
        <v>1.0</v>
      </c>
      <c r="E2" s="12">
        <f t="shared" ref="E2:E130" si="1">B2*C2</f>
        <v>90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1" t="s">
        <v>103</v>
      </c>
      <c r="B3" s="12">
        <v>100.0</v>
      </c>
      <c r="C3" s="12">
        <v>6.0</v>
      </c>
      <c r="D3" s="13">
        <v>1.0</v>
      </c>
      <c r="E3" s="12">
        <f t="shared" si="1"/>
        <v>600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1" t="s">
        <v>104</v>
      </c>
      <c r="B4" s="12">
        <v>120.0</v>
      </c>
      <c r="C4" s="12">
        <v>8.0</v>
      </c>
      <c r="D4" s="13">
        <v>1.0</v>
      </c>
      <c r="E4" s="12">
        <f t="shared" si="1"/>
        <v>960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1" t="s">
        <v>11</v>
      </c>
      <c r="B5" s="12">
        <v>200.0</v>
      </c>
      <c r="C5" s="12">
        <v>8.0</v>
      </c>
      <c r="D5" s="13">
        <v>1.0</v>
      </c>
      <c r="E5" s="12">
        <f t="shared" si="1"/>
        <v>1600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1" t="s">
        <v>12</v>
      </c>
      <c r="B6" s="12">
        <v>90.0</v>
      </c>
      <c r="C6" s="12">
        <v>5.0</v>
      </c>
      <c r="D6" s="13">
        <v>1.0</v>
      </c>
      <c r="E6" s="12">
        <f t="shared" si="1"/>
        <v>450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1" t="s">
        <v>105</v>
      </c>
      <c r="B7" s="12">
        <v>300.0</v>
      </c>
      <c r="C7" s="12">
        <v>6.0</v>
      </c>
      <c r="D7" s="13">
        <v>1.0</v>
      </c>
      <c r="E7" s="12">
        <f t="shared" si="1"/>
        <v>1800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 t="s">
        <v>106</v>
      </c>
      <c r="B8" s="12">
        <v>10.0</v>
      </c>
      <c r="C8" s="12">
        <v>4.0</v>
      </c>
      <c r="D8" s="13">
        <v>1.0</v>
      </c>
      <c r="E8" s="12">
        <f t="shared" si="1"/>
        <v>40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 t="s">
        <v>107</v>
      </c>
      <c r="B9" s="12">
        <v>15.0</v>
      </c>
      <c r="C9" s="12">
        <v>4.0</v>
      </c>
      <c r="D9" s="13">
        <v>1.0</v>
      </c>
      <c r="E9" s="12">
        <f t="shared" si="1"/>
        <v>60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 t="s">
        <v>108</v>
      </c>
      <c r="B10" s="12">
        <v>250.0</v>
      </c>
      <c r="C10" s="12">
        <v>6.0</v>
      </c>
      <c r="D10" s="13">
        <v>1.0</v>
      </c>
      <c r="E10" s="12">
        <f t="shared" si="1"/>
        <v>1500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 t="s">
        <v>109</v>
      </c>
      <c r="B11" s="12">
        <v>40.0</v>
      </c>
      <c r="C11" s="12">
        <v>6.0</v>
      </c>
      <c r="D11" s="13">
        <v>1.0</v>
      </c>
      <c r="E11" s="12">
        <f t="shared" si="1"/>
        <v>240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 t="s">
        <v>110</v>
      </c>
      <c r="B12" s="12">
        <v>500.0</v>
      </c>
      <c r="C12" s="12">
        <v>4.0</v>
      </c>
      <c r="D12" s="13">
        <v>1.0</v>
      </c>
      <c r="E12" s="12">
        <f t="shared" si="1"/>
        <v>2000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 t="s">
        <v>19</v>
      </c>
      <c r="B13" s="12">
        <v>300.0</v>
      </c>
      <c r="C13" s="12">
        <v>24.0</v>
      </c>
      <c r="D13" s="13">
        <v>1.0</v>
      </c>
      <c r="E13" s="12">
        <f t="shared" si="1"/>
        <v>7200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 t="s">
        <v>111</v>
      </c>
      <c r="B14" s="12">
        <v>100.0</v>
      </c>
      <c r="C14" s="12">
        <v>24.0</v>
      </c>
      <c r="D14" s="13">
        <v>1.0</v>
      </c>
      <c r="E14" s="12">
        <f t="shared" si="1"/>
        <v>2400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 t="s">
        <v>23</v>
      </c>
      <c r="B15" s="12">
        <v>300.0</v>
      </c>
      <c r="C15" s="12">
        <v>24.0</v>
      </c>
      <c r="D15" s="13">
        <v>1.0</v>
      </c>
      <c r="E15" s="12">
        <f t="shared" si="1"/>
        <v>7200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 t="s">
        <v>20</v>
      </c>
      <c r="B16" s="12">
        <v>1200.0</v>
      </c>
      <c r="C16" s="12">
        <v>0.5</v>
      </c>
      <c r="D16" s="13">
        <v>1.0</v>
      </c>
      <c r="E16" s="12">
        <f t="shared" si="1"/>
        <v>600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 t="s">
        <v>24</v>
      </c>
      <c r="B17" s="12">
        <v>2200.0</v>
      </c>
      <c r="C17" s="12">
        <v>0.5</v>
      </c>
      <c r="D17" s="13">
        <v>1.0</v>
      </c>
      <c r="E17" s="12">
        <f t="shared" si="1"/>
        <v>1100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 t="s">
        <v>112</v>
      </c>
      <c r="B18" s="12">
        <v>500.0</v>
      </c>
      <c r="C18" s="12">
        <v>0.25</v>
      </c>
      <c r="D18" s="13">
        <v>1.0</v>
      </c>
      <c r="E18" s="12">
        <f t="shared" si="1"/>
        <v>125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 t="s">
        <v>27</v>
      </c>
      <c r="B19" s="12">
        <v>500.0</v>
      </c>
      <c r="C19" s="12">
        <v>1.0</v>
      </c>
      <c r="D19" s="13">
        <v>1.0</v>
      </c>
      <c r="E19" s="12">
        <f t="shared" si="1"/>
        <v>500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 t="s">
        <v>113</v>
      </c>
      <c r="B20" s="12">
        <v>3000.0</v>
      </c>
      <c r="C20" s="12">
        <v>1.0</v>
      </c>
      <c r="D20" s="13">
        <v>1.0</v>
      </c>
      <c r="E20" s="12">
        <f t="shared" si="1"/>
        <v>3000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 t="s">
        <v>114</v>
      </c>
      <c r="B21" s="12">
        <v>1200.0</v>
      </c>
      <c r="C21" s="12">
        <v>1.0</v>
      </c>
      <c r="D21" s="13">
        <v>1.0</v>
      </c>
      <c r="E21" s="12">
        <f t="shared" si="1"/>
        <v>1200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 t="s">
        <v>115</v>
      </c>
      <c r="B22" s="12">
        <v>1000.0</v>
      </c>
      <c r="C22" s="12">
        <v>0.25</v>
      </c>
      <c r="D22" s="13">
        <v>1.0</v>
      </c>
      <c r="E22" s="12">
        <f t="shared" si="1"/>
        <v>250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 t="s">
        <v>116</v>
      </c>
      <c r="B23" s="12">
        <v>1500.0</v>
      </c>
      <c r="C23" s="12">
        <v>0.5</v>
      </c>
      <c r="D23" s="13">
        <v>1.0</v>
      </c>
      <c r="E23" s="12">
        <f t="shared" si="1"/>
        <v>750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 t="s">
        <v>117</v>
      </c>
      <c r="B24" s="12">
        <v>2500.0</v>
      </c>
      <c r="C24" s="12">
        <v>1.0</v>
      </c>
      <c r="D24" s="13">
        <v>1.0</v>
      </c>
      <c r="E24" s="12">
        <f t="shared" si="1"/>
        <v>2500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 t="s">
        <v>118</v>
      </c>
      <c r="B25" s="12">
        <v>3000.0</v>
      </c>
      <c r="C25" s="12">
        <v>1.0</v>
      </c>
      <c r="D25" s="13">
        <v>1.0</v>
      </c>
      <c r="E25" s="12">
        <f t="shared" si="1"/>
        <v>3000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 t="s">
        <v>119</v>
      </c>
      <c r="B26" s="12">
        <v>3000.0</v>
      </c>
      <c r="C26" s="12">
        <v>0.5</v>
      </c>
      <c r="D26" s="13">
        <v>1.0</v>
      </c>
      <c r="E26" s="12">
        <f t="shared" si="1"/>
        <v>1500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 t="s">
        <v>120</v>
      </c>
      <c r="B27" s="12">
        <v>4000.0</v>
      </c>
      <c r="C27" s="12">
        <v>1.0</v>
      </c>
      <c r="D27" s="13">
        <v>1.0</v>
      </c>
      <c r="E27" s="12">
        <f t="shared" si="1"/>
        <v>4000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 t="s">
        <v>121</v>
      </c>
      <c r="B28" s="12">
        <v>1000.0</v>
      </c>
      <c r="C28" s="12">
        <v>6.0</v>
      </c>
      <c r="D28" s="13">
        <v>1.0</v>
      </c>
      <c r="E28" s="12">
        <f t="shared" si="1"/>
        <v>6000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 t="s">
        <v>122</v>
      </c>
      <c r="B29" s="12">
        <v>1200.0</v>
      </c>
      <c r="C29" s="12">
        <v>6.0</v>
      </c>
      <c r="D29" s="13">
        <v>1.0</v>
      </c>
      <c r="E29" s="12">
        <f t="shared" si="1"/>
        <v>7200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 t="s">
        <v>123</v>
      </c>
      <c r="B30" s="12">
        <v>2200.0</v>
      </c>
      <c r="C30" s="12">
        <v>6.0</v>
      </c>
      <c r="D30" s="13">
        <v>1.0</v>
      </c>
      <c r="E30" s="12">
        <f t="shared" si="1"/>
        <v>13200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 t="s">
        <v>39</v>
      </c>
      <c r="B31" s="12">
        <v>1000.0</v>
      </c>
      <c r="C31" s="12">
        <v>1.0</v>
      </c>
      <c r="D31" s="13">
        <v>1.0</v>
      </c>
      <c r="E31" s="12">
        <f t="shared" si="1"/>
        <v>1000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 t="s">
        <v>124</v>
      </c>
      <c r="B32" s="12">
        <v>1800.0</v>
      </c>
      <c r="C32" s="12">
        <v>1.0</v>
      </c>
      <c r="D32" s="13">
        <v>1.0</v>
      </c>
      <c r="E32" s="12">
        <f t="shared" si="1"/>
        <v>1800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 t="s">
        <v>125</v>
      </c>
      <c r="B33" s="12">
        <v>400.0</v>
      </c>
      <c r="C33" s="12">
        <v>24.0</v>
      </c>
      <c r="D33" s="13">
        <v>1.0</v>
      </c>
      <c r="E33" s="12">
        <f t="shared" si="1"/>
        <v>9600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 t="s">
        <v>126</v>
      </c>
      <c r="B34" s="12">
        <v>600.0</v>
      </c>
      <c r="C34" s="12">
        <v>3.0</v>
      </c>
      <c r="D34" s="13">
        <v>1.0</v>
      </c>
      <c r="E34" s="12">
        <f t="shared" si="1"/>
        <v>1800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 t="s">
        <v>127</v>
      </c>
      <c r="B35" s="12">
        <v>200.0</v>
      </c>
      <c r="C35" s="12">
        <v>3.0</v>
      </c>
      <c r="D35" s="13">
        <v>1.0</v>
      </c>
      <c r="E35" s="12">
        <f t="shared" si="1"/>
        <v>600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 t="s">
        <v>83</v>
      </c>
      <c r="B36" s="12">
        <v>100.0</v>
      </c>
      <c r="C36" s="12">
        <v>24.0</v>
      </c>
      <c r="D36" s="13">
        <v>1.0</v>
      </c>
      <c r="E36" s="12">
        <f t="shared" si="1"/>
        <v>2400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 t="s">
        <v>128</v>
      </c>
      <c r="B37" s="12">
        <v>150.0</v>
      </c>
      <c r="C37" s="12">
        <v>24.0</v>
      </c>
      <c r="D37" s="13">
        <v>1.0</v>
      </c>
      <c r="E37" s="12">
        <f t="shared" si="1"/>
        <v>3600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 t="s">
        <v>129</v>
      </c>
      <c r="B38" s="12">
        <v>20.0</v>
      </c>
      <c r="C38" s="12">
        <v>24.0</v>
      </c>
      <c r="D38" s="13">
        <v>1.0</v>
      </c>
      <c r="E38" s="12">
        <f t="shared" si="1"/>
        <v>480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 t="s">
        <v>130</v>
      </c>
      <c r="B39" s="12">
        <v>1000.0</v>
      </c>
      <c r="C39" s="12">
        <v>0.5</v>
      </c>
      <c r="D39" s="13">
        <v>1.0</v>
      </c>
      <c r="E39" s="12">
        <f t="shared" si="1"/>
        <v>500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 t="s">
        <v>131</v>
      </c>
      <c r="B40" s="12">
        <v>100.0</v>
      </c>
      <c r="C40" s="12">
        <v>1.0</v>
      </c>
      <c r="D40" s="13">
        <v>1.0</v>
      </c>
      <c r="E40" s="12">
        <f t="shared" si="1"/>
        <v>100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 t="s">
        <v>132</v>
      </c>
      <c r="B41" s="12">
        <v>300.0</v>
      </c>
      <c r="C41" s="12">
        <v>0.5</v>
      </c>
      <c r="D41" s="13">
        <v>1.0</v>
      </c>
      <c r="E41" s="12">
        <f t="shared" si="1"/>
        <v>150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 t="s">
        <v>133</v>
      </c>
      <c r="B42" s="12">
        <v>100.0</v>
      </c>
      <c r="C42" s="12">
        <v>1.0</v>
      </c>
      <c r="D42" s="13">
        <v>1.0</v>
      </c>
      <c r="E42" s="12">
        <f t="shared" si="1"/>
        <v>100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4" t="s">
        <v>105</v>
      </c>
      <c r="B43" s="14">
        <v>200.0</v>
      </c>
      <c r="C43" s="11">
        <v>6.0</v>
      </c>
      <c r="D43" s="13">
        <v>1.0</v>
      </c>
      <c r="E43" s="12">
        <f t="shared" si="1"/>
        <v>1200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4" t="s">
        <v>12</v>
      </c>
      <c r="B44" s="14">
        <v>90.0</v>
      </c>
      <c r="C44" s="11">
        <v>6.0</v>
      </c>
      <c r="D44" s="13">
        <v>1.0</v>
      </c>
      <c r="E44" s="12">
        <f t="shared" si="1"/>
        <v>540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4" t="s">
        <v>134</v>
      </c>
      <c r="B45" s="14">
        <v>600.0</v>
      </c>
      <c r="C45" s="11">
        <v>8.0</v>
      </c>
      <c r="D45" s="13">
        <v>1.0</v>
      </c>
      <c r="E45" s="12">
        <f t="shared" si="1"/>
        <v>4800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4" t="s">
        <v>135</v>
      </c>
      <c r="B46" s="14">
        <v>50.0</v>
      </c>
      <c r="C46" s="11">
        <v>8.0</v>
      </c>
      <c r="D46" s="13">
        <v>1.0</v>
      </c>
      <c r="E46" s="12">
        <f t="shared" si="1"/>
        <v>400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4" t="s">
        <v>136</v>
      </c>
      <c r="B47" s="14">
        <v>1600.0</v>
      </c>
      <c r="C47" s="11">
        <v>5.0</v>
      </c>
      <c r="D47" s="13">
        <v>1.0</v>
      </c>
      <c r="E47" s="12">
        <f t="shared" si="1"/>
        <v>8000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4" t="s">
        <v>137</v>
      </c>
      <c r="B48" s="14">
        <v>300.0</v>
      </c>
      <c r="C48" s="11">
        <v>6.0</v>
      </c>
      <c r="D48" s="13">
        <v>1.0</v>
      </c>
      <c r="E48" s="12">
        <f t="shared" si="1"/>
        <v>1800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4" t="s">
        <v>138</v>
      </c>
      <c r="B49" s="14">
        <v>500.0</v>
      </c>
      <c r="C49" s="11">
        <v>4.0</v>
      </c>
      <c r="D49" s="13">
        <v>1.0</v>
      </c>
      <c r="E49" s="12">
        <f t="shared" si="1"/>
        <v>2000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4" t="s">
        <v>139</v>
      </c>
      <c r="B50" s="14">
        <v>20.0</v>
      </c>
      <c r="C50" s="11">
        <v>4.0</v>
      </c>
      <c r="D50" s="13">
        <v>1.0</v>
      </c>
      <c r="E50" s="12">
        <f t="shared" si="1"/>
        <v>80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4" t="s">
        <v>140</v>
      </c>
      <c r="B51" s="14">
        <v>50.0</v>
      </c>
      <c r="C51" s="11">
        <v>6.0</v>
      </c>
      <c r="D51" s="13">
        <v>1.0</v>
      </c>
      <c r="E51" s="12">
        <f t="shared" si="1"/>
        <v>300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4" t="s">
        <v>141</v>
      </c>
      <c r="B52" s="14">
        <v>30.0</v>
      </c>
      <c r="C52" s="11">
        <v>6.0</v>
      </c>
      <c r="D52" s="13">
        <v>1.0</v>
      </c>
      <c r="E52" s="12">
        <f t="shared" si="1"/>
        <v>180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4" t="s">
        <v>142</v>
      </c>
      <c r="B53" s="14">
        <v>300.0</v>
      </c>
      <c r="C53" s="11">
        <v>4.0</v>
      </c>
      <c r="D53" s="13">
        <v>1.0</v>
      </c>
      <c r="E53" s="12">
        <f t="shared" si="1"/>
        <v>1200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4" t="s">
        <v>143</v>
      </c>
      <c r="B54" s="14">
        <v>200.0</v>
      </c>
      <c r="C54" s="11">
        <v>24.0</v>
      </c>
      <c r="D54" s="13">
        <v>1.0</v>
      </c>
      <c r="E54" s="12">
        <f t="shared" si="1"/>
        <v>4800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4" t="s">
        <v>144</v>
      </c>
      <c r="B55" s="14">
        <v>40.0</v>
      </c>
      <c r="C55" s="11">
        <v>24.0</v>
      </c>
      <c r="D55" s="13">
        <v>1.0</v>
      </c>
      <c r="E55" s="12">
        <f t="shared" si="1"/>
        <v>960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4" t="s">
        <v>145</v>
      </c>
      <c r="B56" s="14">
        <v>15.0</v>
      </c>
      <c r="C56" s="11">
        <v>24.0</v>
      </c>
      <c r="D56" s="13">
        <v>1.0</v>
      </c>
      <c r="E56" s="12">
        <f t="shared" si="1"/>
        <v>360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4" t="s">
        <v>146</v>
      </c>
      <c r="B57" s="14">
        <v>10.0</v>
      </c>
      <c r="C57" s="11">
        <v>0.5</v>
      </c>
      <c r="D57" s="13">
        <v>1.0</v>
      </c>
      <c r="E57" s="12">
        <f t="shared" si="1"/>
        <v>5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4" t="s">
        <v>84</v>
      </c>
      <c r="B58" s="14">
        <v>100.0</v>
      </c>
      <c r="C58" s="11">
        <v>0.5</v>
      </c>
      <c r="D58" s="13">
        <v>1.0</v>
      </c>
      <c r="E58" s="12">
        <f t="shared" si="1"/>
        <v>50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4" t="s">
        <v>147</v>
      </c>
      <c r="B59" s="14">
        <v>30.0</v>
      </c>
      <c r="C59" s="11">
        <v>0.25</v>
      </c>
      <c r="D59" s="13">
        <v>1.0</v>
      </c>
      <c r="E59" s="12">
        <f t="shared" si="1"/>
        <v>7.5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4" t="s">
        <v>148</v>
      </c>
      <c r="B60" s="14">
        <v>400.0</v>
      </c>
      <c r="C60" s="11">
        <v>1.0</v>
      </c>
      <c r="D60" s="13">
        <v>1.0</v>
      </c>
      <c r="E60" s="12">
        <f t="shared" si="1"/>
        <v>400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4" t="s">
        <v>36</v>
      </c>
      <c r="B61" s="14">
        <v>600.0</v>
      </c>
      <c r="C61" s="11">
        <v>1.0</v>
      </c>
      <c r="D61" s="13">
        <v>1.0</v>
      </c>
      <c r="E61" s="12">
        <f t="shared" si="1"/>
        <v>600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4" t="s">
        <v>149</v>
      </c>
      <c r="B62" s="14">
        <v>800.0</v>
      </c>
      <c r="C62" s="11">
        <v>6.0</v>
      </c>
      <c r="D62" s="13">
        <v>1.0</v>
      </c>
      <c r="E62" s="12">
        <f t="shared" si="1"/>
        <v>4800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4" t="s">
        <v>150</v>
      </c>
      <c r="B63" s="14">
        <v>1500.0</v>
      </c>
      <c r="C63" s="11">
        <v>6.0</v>
      </c>
      <c r="D63" s="13">
        <v>1.0</v>
      </c>
      <c r="E63" s="12">
        <f t="shared" si="1"/>
        <v>9000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4" t="s">
        <v>151</v>
      </c>
      <c r="B64" s="14">
        <v>3000.0</v>
      </c>
      <c r="C64" s="11">
        <v>8.0</v>
      </c>
      <c r="D64" s="13">
        <v>1.0</v>
      </c>
      <c r="E64" s="12">
        <f t="shared" si="1"/>
        <v>24000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4" t="s">
        <v>152</v>
      </c>
      <c r="B65" s="14">
        <v>700.0</v>
      </c>
      <c r="C65" s="11">
        <v>8.0</v>
      </c>
      <c r="D65" s="13">
        <v>1.0</v>
      </c>
      <c r="E65" s="12">
        <f t="shared" si="1"/>
        <v>5600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4" t="s">
        <v>153</v>
      </c>
      <c r="B66" s="14">
        <v>50.0</v>
      </c>
      <c r="C66" s="11">
        <v>5.0</v>
      </c>
      <c r="D66" s="13">
        <v>1.0</v>
      </c>
      <c r="E66" s="12">
        <f t="shared" si="1"/>
        <v>250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4" t="s">
        <v>20</v>
      </c>
      <c r="B67" s="14">
        <v>1200.0</v>
      </c>
      <c r="C67" s="11">
        <v>6.0</v>
      </c>
      <c r="D67" s="13">
        <v>1.0</v>
      </c>
      <c r="E67" s="12">
        <f t="shared" si="1"/>
        <v>7200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4" t="s">
        <v>118</v>
      </c>
      <c r="B68" s="14">
        <v>3000.0</v>
      </c>
      <c r="C68" s="11">
        <v>4.0</v>
      </c>
      <c r="D68" s="13">
        <v>1.0</v>
      </c>
      <c r="E68" s="12">
        <f t="shared" si="1"/>
        <v>12000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4" t="s">
        <v>154</v>
      </c>
      <c r="B69" s="14">
        <v>2500.0</v>
      </c>
      <c r="C69" s="11">
        <v>4.0</v>
      </c>
      <c r="D69" s="13">
        <v>1.0</v>
      </c>
      <c r="E69" s="12">
        <f t="shared" si="1"/>
        <v>10000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4" t="s">
        <v>115</v>
      </c>
      <c r="B70" s="14">
        <v>800.0</v>
      </c>
      <c r="C70" s="11">
        <v>6.0</v>
      </c>
      <c r="D70" s="13">
        <v>1.0</v>
      </c>
      <c r="E70" s="12">
        <f t="shared" si="1"/>
        <v>4800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4" t="s">
        <v>112</v>
      </c>
      <c r="B71" s="14">
        <v>300.0</v>
      </c>
      <c r="C71" s="11">
        <v>6.0</v>
      </c>
      <c r="D71" s="13">
        <v>1.0</v>
      </c>
      <c r="E71" s="12">
        <f t="shared" si="1"/>
        <v>1800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4" t="s">
        <v>155</v>
      </c>
      <c r="B72" s="14">
        <v>1200.0</v>
      </c>
      <c r="C72" s="11">
        <v>4.0</v>
      </c>
      <c r="D72" s="13">
        <v>1.0</v>
      </c>
      <c r="E72" s="12">
        <f t="shared" si="1"/>
        <v>4800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4" t="s">
        <v>156</v>
      </c>
      <c r="B73" s="14">
        <v>2500.0</v>
      </c>
      <c r="C73" s="11">
        <v>24.0</v>
      </c>
      <c r="D73" s="13">
        <v>1.0</v>
      </c>
      <c r="E73" s="12">
        <f t="shared" si="1"/>
        <v>60000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4" t="s">
        <v>157</v>
      </c>
      <c r="B74" s="14">
        <v>800.0</v>
      </c>
      <c r="C74" s="11">
        <v>24.0</v>
      </c>
      <c r="D74" s="13">
        <v>1.0</v>
      </c>
      <c r="E74" s="12">
        <f t="shared" si="1"/>
        <v>19200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4" t="s">
        <v>158</v>
      </c>
      <c r="B75" s="14">
        <v>400.0</v>
      </c>
      <c r="C75" s="11">
        <v>24.0</v>
      </c>
      <c r="D75" s="13">
        <v>1.0</v>
      </c>
      <c r="E75" s="12">
        <f t="shared" si="1"/>
        <v>9600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4" t="s">
        <v>159</v>
      </c>
      <c r="B76" s="14">
        <v>2000.0</v>
      </c>
      <c r="C76" s="11">
        <v>0.5</v>
      </c>
      <c r="D76" s="13">
        <v>1.0</v>
      </c>
      <c r="E76" s="12">
        <f t="shared" si="1"/>
        <v>1000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4" t="s">
        <v>160</v>
      </c>
      <c r="B77" s="14">
        <v>1200.0</v>
      </c>
      <c r="C77" s="11">
        <v>0.5</v>
      </c>
      <c r="D77" s="13">
        <v>1.0</v>
      </c>
      <c r="E77" s="12">
        <f t="shared" si="1"/>
        <v>600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4" t="s">
        <v>161</v>
      </c>
      <c r="B78" s="14">
        <v>2000.0</v>
      </c>
      <c r="C78" s="11">
        <v>0.25</v>
      </c>
      <c r="D78" s="13">
        <v>1.0</v>
      </c>
      <c r="E78" s="12">
        <f t="shared" si="1"/>
        <v>500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4" t="s">
        <v>162</v>
      </c>
      <c r="B79" s="14">
        <v>1800.0</v>
      </c>
      <c r="C79" s="11">
        <v>1.0</v>
      </c>
      <c r="D79" s="13">
        <v>1.0</v>
      </c>
      <c r="E79" s="12">
        <f t="shared" si="1"/>
        <v>1800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4" t="s">
        <v>163</v>
      </c>
      <c r="B80" s="14">
        <v>1500.0</v>
      </c>
      <c r="C80" s="11">
        <v>1.0</v>
      </c>
      <c r="D80" s="13">
        <v>1.0</v>
      </c>
      <c r="E80" s="12">
        <f t="shared" si="1"/>
        <v>1500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4" t="s">
        <v>164</v>
      </c>
      <c r="B81" s="14">
        <v>400.0</v>
      </c>
      <c r="C81" s="11">
        <v>6.0</v>
      </c>
      <c r="D81" s="13">
        <v>1.0</v>
      </c>
      <c r="E81" s="12">
        <f t="shared" si="1"/>
        <v>2400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4" t="s">
        <v>165</v>
      </c>
      <c r="B82" s="14">
        <v>30.0</v>
      </c>
      <c r="C82" s="11">
        <v>6.0</v>
      </c>
      <c r="D82" s="13">
        <v>1.0</v>
      </c>
      <c r="E82" s="12">
        <f t="shared" si="1"/>
        <v>180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4" t="s">
        <v>116</v>
      </c>
      <c r="B83" s="14">
        <v>1500.0</v>
      </c>
      <c r="C83" s="11">
        <v>8.0</v>
      </c>
      <c r="D83" s="13">
        <v>1.0</v>
      </c>
      <c r="E83" s="12">
        <f t="shared" si="1"/>
        <v>12000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4" t="s">
        <v>166</v>
      </c>
      <c r="B84" s="14">
        <v>800.0</v>
      </c>
      <c r="C84" s="11">
        <v>8.0</v>
      </c>
      <c r="D84" s="13">
        <v>1.0</v>
      </c>
      <c r="E84" s="12">
        <f t="shared" si="1"/>
        <v>6400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4" t="s">
        <v>167</v>
      </c>
      <c r="B85" s="14">
        <v>500.0</v>
      </c>
      <c r="C85" s="11">
        <v>5.0</v>
      </c>
      <c r="D85" s="13">
        <v>1.0</v>
      </c>
      <c r="E85" s="12">
        <f t="shared" si="1"/>
        <v>2500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4" t="s">
        <v>168</v>
      </c>
      <c r="B86" s="14">
        <v>750.0</v>
      </c>
      <c r="C86" s="11">
        <v>6.0</v>
      </c>
      <c r="D86" s="13">
        <v>1.0</v>
      </c>
      <c r="E86" s="12">
        <f t="shared" si="1"/>
        <v>4500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4" t="s">
        <v>169</v>
      </c>
      <c r="B87" s="14">
        <v>500.0</v>
      </c>
      <c r="C87" s="11">
        <v>4.0</v>
      </c>
      <c r="D87" s="13">
        <v>1.0</v>
      </c>
      <c r="E87" s="12">
        <f t="shared" si="1"/>
        <v>2000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4" t="s">
        <v>170</v>
      </c>
      <c r="B88" s="14">
        <v>48.0</v>
      </c>
      <c r="C88" s="11">
        <v>4.0</v>
      </c>
      <c r="D88" s="13">
        <v>1.0</v>
      </c>
      <c r="E88" s="12">
        <f t="shared" si="1"/>
        <v>192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4" t="s">
        <v>171</v>
      </c>
      <c r="B89" s="14">
        <v>300.0</v>
      </c>
      <c r="C89" s="11">
        <v>6.0</v>
      </c>
      <c r="D89" s="13">
        <v>1.0</v>
      </c>
      <c r="E89" s="12">
        <f t="shared" si="1"/>
        <v>1800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4" t="s">
        <v>172</v>
      </c>
      <c r="B90" s="14">
        <v>500.0</v>
      </c>
      <c r="C90" s="11">
        <v>6.0</v>
      </c>
      <c r="D90" s="13">
        <v>1.0</v>
      </c>
      <c r="E90" s="12">
        <f t="shared" si="1"/>
        <v>3000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4" t="s">
        <v>173</v>
      </c>
      <c r="B91" s="14">
        <v>300.0</v>
      </c>
      <c r="C91" s="11">
        <v>4.0</v>
      </c>
      <c r="D91" s="13">
        <v>1.0</v>
      </c>
      <c r="E91" s="12">
        <f t="shared" si="1"/>
        <v>1200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4" t="s">
        <v>174</v>
      </c>
      <c r="B92" s="14">
        <v>350.0</v>
      </c>
      <c r="C92" s="11">
        <v>24.0</v>
      </c>
      <c r="D92" s="13">
        <v>1.0</v>
      </c>
      <c r="E92" s="12">
        <f t="shared" si="1"/>
        <v>8400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4" t="s">
        <v>175</v>
      </c>
      <c r="B93" s="14">
        <v>100.0</v>
      </c>
      <c r="C93" s="11">
        <v>24.0</v>
      </c>
      <c r="D93" s="13">
        <v>1.0</v>
      </c>
      <c r="E93" s="12">
        <f t="shared" si="1"/>
        <v>2400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4" t="s">
        <v>176</v>
      </c>
      <c r="B94" s="14">
        <v>200.0</v>
      </c>
      <c r="C94" s="11">
        <v>24.0</v>
      </c>
      <c r="D94" s="13">
        <v>1.0</v>
      </c>
      <c r="E94" s="12">
        <f t="shared" si="1"/>
        <v>4800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4" t="s">
        <v>177</v>
      </c>
      <c r="B95" s="14">
        <v>2000.0</v>
      </c>
      <c r="C95" s="11">
        <v>0.5</v>
      </c>
      <c r="D95" s="13">
        <v>1.0</v>
      </c>
      <c r="E95" s="12">
        <f t="shared" si="1"/>
        <v>1000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4" t="s">
        <v>178</v>
      </c>
      <c r="B96" s="14">
        <v>750.0</v>
      </c>
      <c r="C96" s="11">
        <v>0.5</v>
      </c>
      <c r="D96" s="13">
        <v>1.0</v>
      </c>
      <c r="E96" s="12">
        <f t="shared" si="1"/>
        <v>375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4" t="s">
        <v>179</v>
      </c>
      <c r="B97" s="14">
        <v>1500.0</v>
      </c>
      <c r="C97" s="11">
        <v>0.25</v>
      </c>
      <c r="D97" s="13">
        <v>1.0</v>
      </c>
      <c r="E97" s="12">
        <f t="shared" si="1"/>
        <v>375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4" t="s">
        <v>180</v>
      </c>
      <c r="B98" s="14">
        <v>1500.0</v>
      </c>
      <c r="C98" s="11">
        <v>1.0</v>
      </c>
      <c r="D98" s="13">
        <v>1.0</v>
      </c>
      <c r="E98" s="12">
        <f t="shared" si="1"/>
        <v>1500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4" t="s">
        <v>181</v>
      </c>
      <c r="B99" s="14">
        <v>300.0</v>
      </c>
      <c r="C99" s="11">
        <v>1.0</v>
      </c>
      <c r="D99" s="13">
        <v>1.0</v>
      </c>
      <c r="E99" s="12">
        <f t="shared" si="1"/>
        <v>300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4" t="s">
        <v>182</v>
      </c>
      <c r="B100" s="14">
        <v>1200.0</v>
      </c>
      <c r="C100" s="11">
        <v>6.0</v>
      </c>
      <c r="D100" s="13">
        <v>1.0</v>
      </c>
      <c r="E100" s="12">
        <f t="shared" si="1"/>
        <v>7200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4" t="s">
        <v>183</v>
      </c>
      <c r="B101" s="14">
        <v>200.0</v>
      </c>
      <c r="C101" s="11">
        <v>6.0</v>
      </c>
      <c r="D101" s="13">
        <v>1.0</v>
      </c>
      <c r="E101" s="12">
        <f t="shared" si="1"/>
        <v>1200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4" t="s">
        <v>184</v>
      </c>
      <c r="B102" s="14">
        <v>60.0</v>
      </c>
      <c r="C102" s="11">
        <v>8.0</v>
      </c>
      <c r="D102" s="13">
        <v>1.0</v>
      </c>
      <c r="E102" s="12">
        <f t="shared" si="1"/>
        <v>480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4" t="s">
        <v>185</v>
      </c>
      <c r="B103" s="14">
        <v>3500.0</v>
      </c>
      <c r="C103" s="11">
        <v>8.0</v>
      </c>
      <c r="D103" s="13">
        <v>1.0</v>
      </c>
      <c r="E103" s="12">
        <f t="shared" si="1"/>
        <v>28000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4" t="s">
        <v>186</v>
      </c>
      <c r="B104" s="14">
        <v>22000.0</v>
      </c>
      <c r="C104" s="11">
        <v>5.0</v>
      </c>
      <c r="D104" s="13">
        <v>1.0</v>
      </c>
      <c r="E104" s="12">
        <f t="shared" si="1"/>
        <v>110000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4" t="s">
        <v>187</v>
      </c>
      <c r="B105" s="14">
        <v>100.0</v>
      </c>
      <c r="C105" s="11">
        <v>6.0</v>
      </c>
      <c r="D105" s="13">
        <v>1.0</v>
      </c>
      <c r="E105" s="12">
        <f t="shared" si="1"/>
        <v>600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4" t="s">
        <v>57</v>
      </c>
      <c r="B106" s="14">
        <v>800.0</v>
      </c>
      <c r="C106" s="11">
        <v>4.0</v>
      </c>
      <c r="D106" s="13">
        <v>1.0</v>
      </c>
      <c r="E106" s="12">
        <f t="shared" si="1"/>
        <v>3200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4" t="s">
        <v>188</v>
      </c>
      <c r="B107" s="14">
        <v>1200.0</v>
      </c>
      <c r="C107" s="11">
        <v>4.0</v>
      </c>
      <c r="D107" s="13">
        <v>1.0</v>
      </c>
      <c r="E107" s="12">
        <f t="shared" si="1"/>
        <v>4800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4" t="s">
        <v>189</v>
      </c>
      <c r="B108" s="14">
        <v>100.0</v>
      </c>
      <c r="C108" s="11">
        <v>6.0</v>
      </c>
      <c r="D108" s="13">
        <v>1.0</v>
      </c>
      <c r="E108" s="12">
        <f t="shared" si="1"/>
        <v>600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4" t="s">
        <v>190</v>
      </c>
      <c r="B109" s="14">
        <v>15.0</v>
      </c>
      <c r="C109" s="11">
        <v>6.0</v>
      </c>
      <c r="D109" s="13">
        <v>1.0</v>
      </c>
      <c r="E109" s="12">
        <f t="shared" si="1"/>
        <v>90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4" t="s">
        <v>191</v>
      </c>
      <c r="B110" s="14">
        <v>750.0</v>
      </c>
      <c r="C110" s="11">
        <v>4.0</v>
      </c>
      <c r="D110" s="13">
        <v>1.0</v>
      </c>
      <c r="E110" s="12">
        <f t="shared" si="1"/>
        <v>3000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4" t="s">
        <v>192</v>
      </c>
      <c r="B111" s="14">
        <v>200.0</v>
      </c>
      <c r="C111" s="11">
        <v>24.0</v>
      </c>
      <c r="D111" s="13">
        <v>1.0</v>
      </c>
      <c r="E111" s="12">
        <f t="shared" si="1"/>
        <v>4800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4" t="s">
        <v>193</v>
      </c>
      <c r="B112" s="14">
        <v>600.0</v>
      </c>
      <c r="C112" s="11">
        <v>24.0</v>
      </c>
      <c r="D112" s="13">
        <v>1.0</v>
      </c>
      <c r="E112" s="12">
        <f t="shared" si="1"/>
        <v>14400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4" t="s">
        <v>194</v>
      </c>
      <c r="B113" s="14">
        <v>1500.0</v>
      </c>
      <c r="C113" s="11">
        <v>24.0</v>
      </c>
      <c r="D113" s="13">
        <v>1.0</v>
      </c>
      <c r="E113" s="12">
        <f t="shared" si="1"/>
        <v>36000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4" t="s">
        <v>195</v>
      </c>
      <c r="B114" s="14">
        <v>300.0</v>
      </c>
      <c r="C114" s="11">
        <v>0.5</v>
      </c>
      <c r="D114" s="13">
        <v>1.0</v>
      </c>
      <c r="E114" s="12">
        <f t="shared" si="1"/>
        <v>150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4" t="s">
        <v>196</v>
      </c>
      <c r="B115" s="14">
        <v>15.0</v>
      </c>
      <c r="C115" s="11">
        <v>0.5</v>
      </c>
      <c r="D115" s="13">
        <v>1.0</v>
      </c>
      <c r="E115" s="12">
        <f t="shared" si="1"/>
        <v>7.5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4" t="s">
        <v>104</v>
      </c>
      <c r="B116" s="14">
        <v>120.0</v>
      </c>
      <c r="C116" s="11">
        <v>0.25</v>
      </c>
      <c r="D116" s="13">
        <v>1.0</v>
      </c>
      <c r="E116" s="12">
        <f t="shared" si="1"/>
        <v>30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4" t="s">
        <v>11</v>
      </c>
      <c r="B117" s="14">
        <v>200.0</v>
      </c>
      <c r="C117" s="11">
        <v>1.0</v>
      </c>
      <c r="D117" s="13">
        <v>1.0</v>
      </c>
      <c r="E117" s="12">
        <f t="shared" si="1"/>
        <v>200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4" t="s">
        <v>110</v>
      </c>
      <c r="B118" s="14">
        <v>300.0</v>
      </c>
      <c r="C118" s="11">
        <v>1.0</v>
      </c>
      <c r="D118" s="13">
        <v>1.0</v>
      </c>
      <c r="E118" s="12">
        <f t="shared" si="1"/>
        <v>300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4" t="s">
        <v>121</v>
      </c>
      <c r="B119" s="14">
        <v>900.0</v>
      </c>
      <c r="C119" s="14">
        <v>3.0</v>
      </c>
      <c r="D119" s="13">
        <v>1.0</v>
      </c>
      <c r="E119" s="12">
        <f t="shared" si="1"/>
        <v>2700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4" t="s">
        <v>122</v>
      </c>
      <c r="B120" s="14">
        <v>1200.0</v>
      </c>
      <c r="C120" s="14">
        <v>3.0</v>
      </c>
      <c r="D120" s="13">
        <v>1.0</v>
      </c>
      <c r="E120" s="12">
        <f t="shared" si="1"/>
        <v>3600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4" t="s">
        <v>123</v>
      </c>
      <c r="B121" s="14">
        <v>1800.0</v>
      </c>
      <c r="C121" s="14">
        <v>3.0</v>
      </c>
      <c r="D121" s="13">
        <v>1.0</v>
      </c>
      <c r="E121" s="12">
        <f t="shared" si="1"/>
        <v>5400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4" t="s">
        <v>10</v>
      </c>
      <c r="B122" s="14">
        <v>5.0</v>
      </c>
      <c r="C122" s="14">
        <v>2.0</v>
      </c>
      <c r="D122" s="13">
        <v>1.0</v>
      </c>
      <c r="E122" s="12">
        <f t="shared" si="1"/>
        <v>10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4" t="s">
        <v>13</v>
      </c>
      <c r="B123" s="14">
        <v>10.0</v>
      </c>
      <c r="C123" s="14">
        <v>4.0</v>
      </c>
      <c r="D123" s="13">
        <v>1.0</v>
      </c>
      <c r="E123" s="12">
        <f t="shared" si="1"/>
        <v>40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4" t="s">
        <v>49</v>
      </c>
      <c r="B124" s="14">
        <v>45.0</v>
      </c>
      <c r="C124" s="14">
        <v>6.0</v>
      </c>
      <c r="D124" s="13">
        <v>1.0</v>
      </c>
      <c r="E124" s="12">
        <f t="shared" si="1"/>
        <v>270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4" t="s">
        <v>16</v>
      </c>
      <c r="B125" s="14">
        <v>100.0</v>
      </c>
      <c r="C125" s="14">
        <v>5.0</v>
      </c>
      <c r="D125" s="13">
        <v>1.0</v>
      </c>
      <c r="E125" s="12">
        <f t="shared" si="1"/>
        <v>500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2"/>
      <c r="E126" s="12">
        <f t="shared" si="1"/>
        <v>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2"/>
      <c r="E127" s="12">
        <f t="shared" si="1"/>
        <v>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2"/>
      <c r="E128" s="12">
        <f t="shared" si="1"/>
        <v>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2"/>
      <c r="E129" s="12">
        <f t="shared" si="1"/>
        <v>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2"/>
      <c r="E130" s="12">
        <f t="shared" si="1"/>
        <v>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drawing r:id="rId1"/>
</worksheet>
</file>